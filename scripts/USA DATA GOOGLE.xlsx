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MI" sheetId="1" r:id="rId5"/>
    <sheet state="visible" name="NPMI" sheetId="2" r:id="rId6"/>
    <sheet state="visible" name="Stats" sheetId="3" r:id="rId7"/>
    <sheet state="visible" name="UK" sheetId="4" r:id="rId8"/>
    <sheet state="visible" name="SMB" sheetId="5" r:id="rId9"/>
    <sheet state="visible" name="EU" sheetId="6" r:id="rId10"/>
    <sheet state="visible" name="Links" sheetId="7" r:id="rId11"/>
  </sheets>
  <definedNames>
    <definedName name="MonthlyLoanPayment">#REF!</definedName>
    <definedName name="LoanAmount">#REF!</definedName>
    <definedName name="InterestRate">#REF!</definedName>
    <definedName name="total_payments">#REF!</definedName>
    <definedName name="DurationOfLoan">#REF!</definedName>
    <definedName name="StartTime">#REF!</definedName>
    <definedName name="total_loan_payment">#REF!</definedName>
    <definedName name="LoanStart">#REF!</definedName>
    <definedName name="interest">#REF!</definedName>
    <definedName name="PropertyTaxAmount">#REF!</definedName>
  </definedNames>
  <calcPr/>
</workbook>
</file>

<file path=xl/sharedStrings.xml><?xml version="1.0" encoding="utf-8"?>
<sst xmlns="http://schemas.openxmlformats.org/spreadsheetml/2006/main" count="157" uniqueCount="148">
  <si>
    <t>Date</t>
  </si>
  <si>
    <t>PMI</t>
  </si>
  <si>
    <t>PMI New Orders</t>
  </si>
  <si>
    <t>PMI Production</t>
  </si>
  <si>
    <t>PMI Employment</t>
  </si>
  <si>
    <t>PMI Supplier Deliveries</t>
  </si>
  <si>
    <t>PMI Inventories</t>
  </si>
  <si>
    <t>PMI Customers Inventories</t>
  </si>
  <si>
    <t>PMI Prices</t>
  </si>
  <si>
    <t>PMI Backlog of Orders</t>
  </si>
  <si>
    <t>PMI New Export Orders</t>
  </si>
  <si>
    <t>PMI Imports</t>
  </si>
  <si>
    <t>PMI Consumption</t>
  </si>
  <si>
    <t>PMI Inputs</t>
  </si>
  <si>
    <t>NPMI</t>
  </si>
  <si>
    <t>NPMI Business Activity</t>
  </si>
  <si>
    <t>NPMI New Orders</t>
  </si>
  <si>
    <t>NPMI Employment</t>
  </si>
  <si>
    <t>NPMI Supplier Deliveries</t>
  </si>
  <si>
    <t>NPMI Inventories</t>
  </si>
  <si>
    <t>NPMI Prices</t>
  </si>
  <si>
    <t>NPMI Backlog of Orders</t>
  </si>
  <si>
    <t>NPMI New Export Orders</t>
  </si>
  <si>
    <t>NPMI Imports</t>
  </si>
  <si>
    <t>NPMI Inventory Sentiment</t>
  </si>
  <si>
    <t>NPMI Inputs</t>
  </si>
  <si>
    <t>Phrases</t>
  </si>
  <si>
    <t>Predictor</t>
  </si>
  <si>
    <t>ACC data</t>
  </si>
  <si>
    <t>accelerator</t>
  </si>
  <si>
    <t>activity is strong Yes</t>
  </si>
  <si>
    <t>acceleration of the category</t>
  </si>
  <si>
    <t>additional volume</t>
  </si>
  <si>
    <t>ahead of our expectations</t>
  </si>
  <si>
    <t>artificial intelligence</t>
  </si>
  <si>
    <t>big opportunity</t>
  </si>
  <si>
    <t>beginning to stabilize</t>
  </si>
  <si>
    <t>Bidding activity</t>
  </si>
  <si>
    <t>brand share</t>
  </si>
  <si>
    <t>continue to successfully</t>
  </si>
  <si>
    <t>continued growth</t>
  </si>
  <si>
    <t>cutting-edge</t>
  </si>
  <si>
    <t>declining inventories</t>
  </si>
  <si>
    <t>growth opportunities</t>
  </si>
  <si>
    <t>early stages</t>
  </si>
  <si>
    <t>enablers of growth</t>
  </si>
  <si>
    <t>emerging trend</t>
  </si>
  <si>
    <t>enduring themes</t>
  </si>
  <si>
    <t>fastest-growing</t>
  </si>
  <si>
    <t>future growth catalyst</t>
  </si>
  <si>
    <t>gain share</t>
  </si>
  <si>
    <t>Generational trends</t>
  </si>
  <si>
    <t>generational shifts</t>
  </si>
  <si>
    <t>GREAT PAIRS</t>
  </si>
  <si>
    <t>growth momentum</t>
  </si>
  <si>
    <t>growing capital investments</t>
  </si>
  <si>
    <t>healthy growth</t>
  </si>
  <si>
    <t>improved order activity</t>
  </si>
  <si>
    <t>increased activity</t>
  </si>
  <si>
    <t>increased order activity</t>
  </si>
  <si>
    <t>inflection point</t>
  </si>
  <si>
    <t>long runway for growth</t>
  </si>
  <si>
    <t>new catalyst</t>
  </si>
  <si>
    <t>market opportunity continues expanding</t>
  </si>
  <si>
    <t>momentum across the business</t>
  </si>
  <si>
    <t>multiyear growth cycle</t>
  </si>
  <si>
    <t>making those incremental investments?</t>
  </si>
  <si>
    <t>bright spot</t>
  </si>
  <si>
    <t>niche to mainstream</t>
  </si>
  <si>
    <t>new growth</t>
  </si>
  <si>
    <t>new opportunities</t>
  </si>
  <si>
    <t>ontinuing to support activity</t>
  </si>
  <si>
    <t>operating expense growth</t>
  </si>
  <si>
    <t>Our order book has accelerated</t>
  </si>
  <si>
    <t>picking up</t>
  </si>
  <si>
    <t>pickup in our order book</t>
  </si>
  <si>
    <t>positive order development</t>
  </si>
  <si>
    <t>potential for some growth next year</t>
  </si>
  <si>
    <t>revenue to more than double</t>
  </si>
  <si>
    <t>robust growth</t>
  </si>
  <si>
    <t>robust pipeline</t>
  </si>
  <si>
    <t>sensing and electronics</t>
  </si>
  <si>
    <t>sales conversion</t>
  </si>
  <si>
    <t>starting some of the hiring</t>
  </si>
  <si>
    <t>strength of our business</t>
  </si>
  <si>
    <t>strongest performing category</t>
  </si>
  <si>
    <t>sustainable long-term growth</t>
  </si>
  <si>
    <t>supply chain</t>
  </si>
  <si>
    <t>transaction growth</t>
  </si>
  <si>
    <t>uniquely positioned</t>
  </si>
  <si>
    <t>we are again raising</t>
  </si>
  <si>
    <t>we are encouraged</t>
  </si>
  <si>
    <t>we’re headed</t>
  </si>
  <si>
    <t>we’re seeing continued strength</t>
  </si>
  <si>
    <t>unprecedented demand</t>
  </si>
  <si>
    <t>UK PMI</t>
  </si>
  <si>
    <t>UK NPMI</t>
  </si>
  <si>
    <t>UK GFK</t>
  </si>
  <si>
    <t>UK M2</t>
  </si>
  <si>
    <t>UK IR</t>
  </si>
  <si>
    <t>UK CCPI</t>
  </si>
  <si>
    <t>UK M Approvals</t>
  </si>
  <si>
    <t>SMB</t>
  </si>
  <si>
    <t>SMB Employment</t>
  </si>
  <si>
    <t>SMB Capital</t>
  </si>
  <si>
    <t>SMB Inventories</t>
  </si>
  <si>
    <t>SMB Economy</t>
  </si>
  <si>
    <t>SMB Sales</t>
  </si>
  <si>
    <t>SMB FIJI</t>
  </si>
  <si>
    <t>SMB Construction</t>
  </si>
  <si>
    <t>SMB Manufacturing</t>
  </si>
  <si>
    <t>SMB Transportation</t>
  </si>
  <si>
    <t>SMB Wholesale</t>
  </si>
  <si>
    <t>SMB Retail</t>
  </si>
  <si>
    <t>Column1</t>
  </si>
  <si>
    <t>EU PMI</t>
  </si>
  <si>
    <t>EU Consumer</t>
  </si>
  <si>
    <t>EU ZEW</t>
  </si>
  <si>
    <t>EU M2 Supply</t>
  </si>
  <si>
    <t>DE.ZEW</t>
  </si>
  <si>
    <t>Euro CBBS</t>
  </si>
  <si>
    <t>ISM (Institute for Supply Management)</t>
  </si>
  <si>
    <t>Europe PMI</t>
  </si>
  <si>
    <t>Euro Area Manufacturing PMI</t>
  </si>
  <si>
    <t>Europe Service Pmi</t>
  </si>
  <si>
    <t>Euro Area Services PMI</t>
  </si>
  <si>
    <t>CC</t>
  </si>
  <si>
    <t>Euro Area Consumer Confidence</t>
  </si>
  <si>
    <t>ZEW</t>
  </si>
  <si>
    <t>https://tradingeconomics.com/euro-area/zew-economic-sentiment-index</t>
  </si>
  <si>
    <t>M2</t>
  </si>
  <si>
    <t>Euro Area Money Supply M2</t>
  </si>
  <si>
    <t>Monthly</t>
  </si>
  <si>
    <t>Germany ZEW Economic Sentiment Index</t>
  </si>
  <si>
    <t>United Kingdom Manufacturing PMI</t>
  </si>
  <si>
    <t>United Kingdom Services PMI</t>
  </si>
  <si>
    <t>GFK</t>
  </si>
  <si>
    <t>United Kingdom Consumer Confidence</t>
  </si>
  <si>
    <t>United Kingdom Money Supply M2</t>
  </si>
  <si>
    <t>IR</t>
  </si>
  <si>
    <t>United Kingdom Interest Rate</t>
  </si>
  <si>
    <t>CCPI</t>
  </si>
  <si>
    <t>United Kingdom Core Consumer Prices</t>
  </si>
  <si>
    <t>PPI</t>
  </si>
  <si>
    <t>Mort App</t>
  </si>
  <si>
    <t>United Kingdom Mortgage Approvals</t>
  </si>
  <si>
    <r>
      <rPr>
        <rFont val="Arial, sans-serif"/>
        <color rgb="FF1155CC"/>
        <sz val="12.0"/>
        <u/>
      </rPr>
      <t>https://www.marketwatch.com/investing/future/gc00/download-data?startDate=1/15/2018&amp;endDate=04/14/2023</t>
    </r>
  </si>
  <si>
    <t>Small Business Optimism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</si>
</sst>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0.0"/>
  </numFmts>
  <fonts count="23">
    <font>
      <sz val="12.0"/>
      <color theme="1"/>
      <name val="Aptos Narrow"/>
      <scheme val="minor"/>
    </font>
    <font>
      <sz val="11.0"/>
      <color rgb="FFFFFFFF"/>
      <name val="Times"/>
    </font>
    <font>
      <sz val="10.0"/>
      <color rgb="FF000000"/>
      <name val="Arial"/>
    </font>
    <font>
      <sz val="8.0"/>
      <color rgb="FFFFFFFF"/>
      <name val="Times"/>
    </font>
    <font>
      <sz val="12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b/>
      <sz val="10.0"/>
      <color rgb="FF000000"/>
      <name val="Helvetica Neue"/>
    </font>
    <font>
      <sz val="12.0"/>
      <color theme="1"/>
      <name val="Helvetica Neue"/>
    </font>
    <font>
      <b/>
      <sz val="11.0"/>
      <color rgb="FFFFFFFF"/>
      <name val="Times"/>
    </font>
    <font>
      <sz val="12.0"/>
      <color rgb="FF000000"/>
      <name val="Arial"/>
    </font>
    <font>
      <sz val="12.0"/>
      <color theme="1"/>
      <name val="Aptos Narrow"/>
    </font>
    <font>
      <sz val="13.0"/>
      <color theme="1"/>
      <name val="Helvetica Neue"/>
    </font>
    <font>
      <b/>
      <sz val="11.0"/>
      <color theme="1"/>
      <name val="Times"/>
    </font>
    <font>
      <b/>
      <sz val="11.0"/>
      <color theme="1"/>
      <name val="Calibri"/>
    </font>
    <font>
      <color theme="1"/>
      <name val="Arial"/>
    </font>
    <font>
      <color theme="1"/>
      <name val="Aptos Narrow"/>
    </font>
    <font>
      <b/>
      <sz val="11.0"/>
      <color rgb="FFFFFFFF"/>
      <name val="Calibri"/>
    </font>
    <font>
      <sz val="12.0"/>
      <color rgb="FF333333"/>
      <name val="&quot;Helvetica Neue&quot;"/>
    </font>
    <font>
      <u/>
      <sz val="12.0"/>
      <color rgb="FF0000FF"/>
      <name val="Arial"/>
    </font>
    <font>
      <u/>
      <sz val="12.0"/>
      <color rgb="FF467886"/>
      <name val="Arial"/>
    </font>
    <font>
      <u/>
      <sz val="12.0"/>
      <color rgb="FF0000FF"/>
      <name val="Arial"/>
    </font>
    <font>
      <u/>
      <sz val="12.0"/>
      <color rgb="FF467886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1F0C8"/>
        <bgColor rgb="FFC1F0C8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8D4EF"/>
        <bgColor rgb="FFB8D4E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3" fillId="0" fontId="5" numFmtId="164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2" numFmtId="165" xfId="0" applyAlignment="1" applyBorder="1" applyFont="1" applyNumberFormat="1">
      <alignment horizontal="center" vertical="center"/>
    </xf>
    <xf borderId="5" fillId="0" fontId="5" numFmtId="164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6" fillId="3" fontId="5" numFmtId="164" xfId="0" applyAlignment="1" applyBorder="1" applyFill="1" applyFont="1" applyNumberForma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3" fontId="2" numFmtId="165" xfId="0" applyAlignment="1" applyBorder="1" applyFont="1" applyNumberFormat="1">
      <alignment horizontal="center" vertical="center"/>
    </xf>
    <xf borderId="7" fillId="0" fontId="5" numFmtId="164" xfId="0" applyAlignment="1" applyBorder="1" applyFont="1" applyNumberFormat="1">
      <alignment horizontal="center" vertical="center"/>
    </xf>
    <xf borderId="5" fillId="0" fontId="7" numFmtId="164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7" fillId="0" fontId="7" numFmtId="164" xfId="0" applyAlignment="1" applyBorder="1" applyFont="1" applyNumberForma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5" fillId="0" fontId="5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4" numFmtId="164" xfId="0" applyAlignment="1" applyFont="1" applyNumberFormat="1">
      <alignment horizontal="center" vertical="center"/>
    </xf>
    <xf borderId="1" fillId="5" fontId="9" numFmtId="0" xfId="0" applyAlignment="1" applyBorder="1" applyFill="1" applyFont="1">
      <alignment horizontal="center" shrinkToFit="0" vertical="center" wrapText="1"/>
    </xf>
    <xf borderId="2" fillId="5" fontId="9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0" fontId="8" numFmtId="165" xfId="0" applyAlignment="1" applyBorder="1" applyFont="1" applyNumberFormat="1">
      <alignment horizontal="center" shrinkToFit="0" vertical="center" wrapText="1"/>
    </xf>
    <xf borderId="5" fillId="0" fontId="7" numFmtId="164" xfId="0" applyAlignment="1" applyBorder="1" applyFont="1" applyNumberFormat="1">
      <alignment horizontal="center" shrinkToFit="0" wrapText="1"/>
    </xf>
    <xf borderId="1" fillId="0" fontId="8" numFmtId="165" xfId="0" applyAlignment="1" applyBorder="1" applyFont="1" applyNumberFormat="1">
      <alignment horizontal="center" shrinkToFit="0" vertical="center" wrapText="1"/>
    </xf>
    <xf borderId="7" fillId="0" fontId="7" numFmtId="164" xfId="0" applyAlignment="1" applyBorder="1" applyFont="1" applyNumberFormat="1">
      <alignment horizontal="center" shrinkToFit="0" wrapText="1"/>
    </xf>
    <xf borderId="0" fillId="0" fontId="8" numFmtId="0" xfId="0" applyAlignment="1" applyFont="1">
      <alignment horizontal="center" shrinkToFit="0" vertical="center" wrapText="1"/>
    </xf>
    <xf borderId="0" fillId="0" fontId="8" numFmtId="165" xfId="0" applyAlignment="1" applyFont="1" applyNumberFormat="1">
      <alignment horizontal="center" shrinkToFit="0" vertical="center" wrapText="1"/>
    </xf>
    <xf borderId="7" fillId="0" fontId="7" numFmtId="164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8" numFmtId="165" xfId="0" applyAlignment="1" applyFont="1" applyNumberFormat="1">
      <alignment horizontal="center" shrinkToFit="0" vertical="center" wrapText="1"/>
    </xf>
    <xf borderId="6" fillId="5" fontId="5" numFmtId="164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0" fillId="0" fontId="11" numFmtId="0" xfId="0" applyFont="1"/>
    <xf borderId="0" fillId="0" fontId="12" numFmtId="0" xfId="0" applyFont="1"/>
    <xf borderId="9" fillId="5" fontId="13" numFmtId="164" xfId="0" applyAlignment="1" applyBorder="1" applyFont="1" applyNumberFormat="1">
      <alignment horizontal="center" shrinkToFit="0" vertical="center" wrapText="1"/>
    </xf>
    <xf borderId="2" fillId="5" fontId="14" numFmtId="0" xfId="0" applyAlignment="1" applyBorder="1" applyFont="1">
      <alignment horizontal="center" vertical="top"/>
    </xf>
    <xf borderId="0" fillId="0" fontId="11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4" numFmtId="0" xfId="0" applyFont="1"/>
    <xf borderId="5" fillId="0" fontId="7" numFmtId="164" xfId="0" applyAlignment="1" applyBorder="1" applyFont="1" applyNumberFormat="1">
      <alignment horizontal="center" shrinkToFit="0" vertical="center" wrapText="1"/>
    </xf>
    <xf borderId="0" fillId="0" fontId="15" numFmtId="0" xfId="0" applyAlignment="1" applyFont="1">
      <alignment readingOrder="0"/>
    </xf>
    <xf borderId="0" fillId="0" fontId="16" numFmtId="0" xfId="0" applyFont="1"/>
    <xf borderId="3" fillId="0" fontId="9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horizontal="center" vertical="top"/>
    </xf>
    <xf borderId="0" fillId="0" fontId="11" numFmtId="0" xfId="0" applyAlignment="1" applyFont="1">
      <alignment horizontal="center"/>
    </xf>
    <xf borderId="0" fillId="0" fontId="11" numFmtId="2" xfId="0" applyAlignment="1" applyFont="1" applyNumberFormat="1">
      <alignment horizontal="center" vertical="center"/>
    </xf>
    <xf borderId="0" fillId="0" fontId="11" numFmtId="2" xfId="0" applyAlignment="1" applyFont="1" applyNumberFormat="1">
      <alignment horizontal="center"/>
    </xf>
    <xf borderId="0" fillId="0" fontId="4" numFmtId="2" xfId="0" applyAlignment="1" applyFont="1" applyNumberFormat="1">
      <alignment horizontal="center" vertical="center"/>
    </xf>
    <xf borderId="0" fillId="0" fontId="4" numFmtId="2" xfId="0" applyAlignment="1" applyFont="1" applyNumberFormat="1">
      <alignment horizontal="center"/>
    </xf>
    <xf borderId="10" fillId="5" fontId="5" numFmtId="164" xfId="0" applyAlignment="1" applyBorder="1" applyFont="1" applyNumberFormat="1">
      <alignment horizontal="center" vertical="center"/>
    </xf>
    <xf borderId="0" fillId="0" fontId="4" numFmtId="2" xfId="0" applyAlignment="1" applyFont="1" applyNumberFormat="1">
      <alignment horizontal="center" readingOrder="0"/>
    </xf>
    <xf borderId="0" fillId="0" fontId="4" numFmtId="2" xfId="0" applyAlignment="1" applyFont="1" applyNumberFormat="1">
      <alignment horizontal="center" readingOrder="0"/>
    </xf>
    <xf borderId="0" fillId="0" fontId="11" numFmtId="2" xfId="0" applyAlignment="1" applyFont="1" applyNumberFormat="1">
      <alignment horizontal="center"/>
    </xf>
    <xf borderId="3" fillId="0" fontId="9" numFmtId="164" xfId="0" applyAlignment="1" applyBorder="1" applyFont="1" applyNumberFormat="1">
      <alignment horizontal="center" shrinkToFit="0" vertical="center" wrapText="1"/>
    </xf>
    <xf borderId="11" fillId="6" fontId="11" numFmtId="0" xfId="0" applyAlignment="1" applyBorder="1" applyFill="1" applyFont="1">
      <alignment vertical="center"/>
    </xf>
    <xf borderId="0" fillId="0" fontId="11" numFmtId="164" xfId="0" applyAlignment="1" applyFont="1" applyNumberFormat="1">
      <alignment vertical="center"/>
    </xf>
    <xf borderId="0" fillId="0" fontId="18" numFmtId="0" xfId="0" applyAlignment="1" applyFont="1">
      <alignment readingOrder="0"/>
    </xf>
    <xf borderId="0" fillId="0" fontId="4" numFmtId="164" xfId="0" applyFont="1" applyNumberFormat="1"/>
    <xf borderId="0" fillId="0" fontId="19" numFmtId="0" xfId="0" applyFont="1"/>
    <xf borderId="1" fillId="0" fontId="10" numFmtId="0" xfId="0" applyAlignment="1" applyBorder="1" applyFont="1">
      <alignment horizontal="center"/>
    </xf>
    <xf borderId="1" fillId="0" fontId="20" numFmtId="0" xfId="0" applyAlignment="1" applyBorder="1" applyFont="1">
      <alignment horizontal="center"/>
    </xf>
    <xf borderId="1" fillId="0" fontId="21" numFmtId="0" xfId="0" applyAlignment="1" applyBorder="1" applyFont="1">
      <alignment horizontal="center"/>
    </xf>
    <xf borderId="0" fillId="0" fontId="22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</dxfs>
  <tableStyles count="5">
    <tableStyle count="3" pivot="0" name="PMI-style">
      <tableStyleElement dxfId="1" type="headerRow"/>
      <tableStyleElement dxfId="2" type="firstRowStripe"/>
      <tableStyleElement dxfId="2" type="secondRowStripe"/>
    </tableStyle>
    <tableStyle count="3" pivot="0" name="NPMI-style">
      <tableStyleElement dxfId="1" type="headerRow"/>
      <tableStyleElement dxfId="2" type="firstRowStripe"/>
      <tableStyleElement dxfId="2" type="secondRowStripe"/>
    </tableStyle>
    <tableStyle count="3" pivot="0" name="UK-style">
      <tableStyleElement dxfId="2" type="headerRow"/>
      <tableStyleElement dxfId="3" type="firstRowStripe"/>
      <tableStyleElement dxfId="2" type="secondRowStripe"/>
    </tableStyle>
    <tableStyle count="3" pivot="0" name="SMB-style">
      <tableStyleElement dxfId="4" type="headerRow"/>
      <tableStyleElement dxfId="5" type="firstRowStripe"/>
      <tableStyleElement dxfId="2" type="secondRowStripe"/>
    </tableStyle>
    <tableStyle count="3" pivot="0" name="EU-style">
      <tableStyleElement dxfId="4" type="headerRow"/>
      <tableStyleElement dxfId="5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952" displayName="Table_1" name="Table_1" id="1">
  <tableColumns count="14">
    <tableColumn name="Date" id="1"/>
    <tableColumn name="PMI" id="2"/>
    <tableColumn name="PMI New Orders" id="3"/>
    <tableColumn name="PMI Production" id="4"/>
    <tableColumn name="PMI Employment" id="5"/>
    <tableColumn name="PMI Supplier Deliveries" id="6"/>
    <tableColumn name="PMI Inventories" id="7"/>
    <tableColumn name="PMI Customers Inventories" id="8"/>
    <tableColumn name="PMI Prices" id="9"/>
    <tableColumn name="PMI Backlog of Orders" id="10"/>
    <tableColumn name="PMI New Export Orders" id="11"/>
    <tableColumn name="PMI Imports" id="12"/>
    <tableColumn name="PMI Consumption" id="13"/>
    <tableColumn name="PMI Inputs" id="14"/>
  </tableColumns>
  <tableStyleInfo name="PMI-style" showColumnStripes="0" showFirstColumn="1" showLastColumn="1" showRowStripes="1"/>
</table>
</file>

<file path=xl/tables/table2.xml><?xml version="1.0" encoding="utf-8"?>
<table xmlns="http://schemas.openxmlformats.org/spreadsheetml/2006/main" ref="A1:M336" displayName="Table_2" name="Table_2" id="2">
  <tableColumns count="13">
    <tableColumn name="Date" id="1"/>
    <tableColumn name="NPMI" id="2"/>
    <tableColumn name="NPMI Business Activity" id="3"/>
    <tableColumn name="NPMI New Orders" id="4"/>
    <tableColumn name="NPMI Employment" id="5"/>
    <tableColumn name="NPMI Supplier Deliveries" id="6"/>
    <tableColumn name="NPMI Inventories" id="7"/>
    <tableColumn name="NPMI Prices" id="8"/>
    <tableColumn name="NPMI Backlog of Orders" id="9"/>
    <tableColumn name="NPMI New Export Orders" id="10"/>
    <tableColumn name="NPMI Imports" id="11"/>
    <tableColumn name="NPMI Inventory Sentiment" id="12"/>
    <tableColumn name="NPMI Inputs" id="13"/>
  </tableColumns>
  <tableStyleInfo name="NPMI-style" showColumnStripes="0" showFirstColumn="1" showLastColumn="1" showRowStripes="1"/>
</table>
</file>

<file path=xl/tables/table3.xml><?xml version="1.0" encoding="utf-8"?>
<table xmlns="http://schemas.openxmlformats.org/spreadsheetml/2006/main" ref="A1:H651" displayName="Table_3" name="Table_3" id="3">
  <tableColumns count="8">
    <tableColumn name="Date" id="1"/>
    <tableColumn name="UK PMI" id="2"/>
    <tableColumn name="UK NPMI" id="3"/>
    <tableColumn name="UK GFK" id="4"/>
    <tableColumn name="UK M2" id="5"/>
    <tableColumn name="UK IR" id="6"/>
    <tableColumn name="UK CCPI" id="7"/>
    <tableColumn name="UK M Approvals" id="8"/>
  </tableColumns>
  <tableStyleInfo name="UK-style" showColumnStripes="0" showFirstColumn="1" showLastColumn="1" showRowStripes="1"/>
</table>
</file>

<file path=xl/tables/table4.xml><?xml version="1.0" encoding="utf-8"?>
<table xmlns="http://schemas.openxmlformats.org/spreadsheetml/2006/main" ref="A1:N485" displayName="Table_4" name="Table_4" id="4">
  <tableColumns count="14">
    <tableColumn name="Date" id="1"/>
    <tableColumn name="SMB" id="2"/>
    <tableColumn name="SMB Employment" id="3"/>
    <tableColumn name="SMB Capital" id="4"/>
    <tableColumn name="SMB Inventories" id="5"/>
    <tableColumn name="SMB Economy" id="6"/>
    <tableColumn name="SMB Sales" id="7"/>
    <tableColumn name="SMB FIJI" id="8"/>
    <tableColumn name="SMB Construction" id="9"/>
    <tableColumn name="SMB Manufacturing" id="10"/>
    <tableColumn name="SMB Transportation" id="11"/>
    <tableColumn name="SMB Wholesale" id="12"/>
    <tableColumn name="SMB Retail" id="13"/>
    <tableColumn name="Column1" id="14"/>
  </tableColumns>
  <tableStyleInfo name="SMB-style" showColumnStripes="0" showFirstColumn="1" showLastColumn="1" showRowStripes="1"/>
</table>
</file>

<file path=xl/tables/table5.xml><?xml version="1.0" encoding="utf-8"?>
<table xmlns="http://schemas.openxmlformats.org/spreadsheetml/2006/main" ref="A1:G366" displayName="Table_5" name="Table_5" id="5">
  <tableColumns count="7">
    <tableColumn name="Date" id="1"/>
    <tableColumn name="EU PMI" id="2"/>
    <tableColumn name="EU Consumer" id="3"/>
    <tableColumn name="EU ZEW" id="4"/>
    <tableColumn name="EU M2 Supply" id="5"/>
    <tableColumn name="DE.ZEW" id="6"/>
    <tableColumn name="Euro CBBS" id="7"/>
  </tableColumns>
  <tableStyleInfo name="E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tradingeconomics.com/united-kingdom/money-supply-m2" TargetMode="External"/><Relationship Id="rId10" Type="http://schemas.openxmlformats.org/officeDocument/2006/relationships/hyperlink" Target="https://tradingeconomics.com/united-kingdom/consumer-confidence" TargetMode="External"/><Relationship Id="rId13" Type="http://schemas.openxmlformats.org/officeDocument/2006/relationships/hyperlink" Target="https://tradingeconomics.com/united-kingdom/core-consumer-prices" TargetMode="External"/><Relationship Id="rId12" Type="http://schemas.openxmlformats.org/officeDocument/2006/relationships/hyperlink" Target="https://tradingeconomics.com/united-kingdom/interest-rate" TargetMode="External"/><Relationship Id="rId1" Type="http://schemas.openxmlformats.org/officeDocument/2006/relationships/hyperlink" Target="https://www.ismworld.org/" TargetMode="External"/><Relationship Id="rId2" Type="http://schemas.openxmlformats.org/officeDocument/2006/relationships/hyperlink" Target="https://tradingeconomics.com/euro-area/manufacturing-pmi" TargetMode="External"/><Relationship Id="rId3" Type="http://schemas.openxmlformats.org/officeDocument/2006/relationships/hyperlink" Target="https://tradingeconomics.com/euro-area/services-pmi" TargetMode="External"/><Relationship Id="rId4" Type="http://schemas.openxmlformats.org/officeDocument/2006/relationships/hyperlink" Target="https://tradingeconomics.com/euro-area/consumer-confidence" TargetMode="External"/><Relationship Id="rId9" Type="http://schemas.openxmlformats.org/officeDocument/2006/relationships/hyperlink" Target="https://tradingeconomics.com/united-kingdom/services-pmi" TargetMode="External"/><Relationship Id="rId15" Type="http://schemas.openxmlformats.org/officeDocument/2006/relationships/hyperlink" Target="https://www.marketwatch.com/investing/future/gc00/download-data?startDate=1/15/2018&amp;endDate=04/14/2023" TargetMode="External"/><Relationship Id="rId14" Type="http://schemas.openxmlformats.org/officeDocument/2006/relationships/hyperlink" Target="https://tradingeconomics.com/united-kingdom/mortgage-approvals" TargetMode="External"/><Relationship Id="rId17" Type="http://schemas.openxmlformats.org/officeDocument/2006/relationships/drawing" Target="../drawings/drawing7.xml"/><Relationship Id="rId16" Type="http://schemas.openxmlformats.org/officeDocument/2006/relationships/hyperlink" Target="https://www.nfib-sbet.org/MainPage.html" TargetMode="External"/><Relationship Id="rId5" Type="http://schemas.openxmlformats.org/officeDocument/2006/relationships/hyperlink" Target="https://tradingeconomics.com/euro-area/zew-economic-sentiment-index" TargetMode="External"/><Relationship Id="rId6" Type="http://schemas.openxmlformats.org/officeDocument/2006/relationships/hyperlink" Target="https://tradingeconomics.com/euro-area/money-supply-m2" TargetMode="External"/><Relationship Id="rId7" Type="http://schemas.openxmlformats.org/officeDocument/2006/relationships/hyperlink" Target="https://tradingeconomics.com/germany/zew-economic-sentiment-index" TargetMode="External"/><Relationship Id="rId8" Type="http://schemas.openxmlformats.org/officeDocument/2006/relationships/hyperlink" Target="https://tradingeconomics.com/united-kingdom/manufacturing-pm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8" width="15.33"/>
    <col customWidth="1" min="9" max="9" width="22.11"/>
    <col customWidth="1" min="10" max="14" width="15.33"/>
  </cols>
  <sheetData>
    <row r="1" ht="33.0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>
        <v>17533.0</v>
      </c>
      <c r="B2" s="7">
        <v>51.7</v>
      </c>
      <c r="C2" s="7">
        <v>53.3</v>
      </c>
      <c r="D2" s="7">
        <v>59.1</v>
      </c>
      <c r="E2" s="7">
        <v>54.8</v>
      </c>
      <c r="F2" s="7">
        <v>36.3</v>
      </c>
      <c r="G2" s="8"/>
      <c r="H2" s="8"/>
      <c r="I2" s="8"/>
      <c r="J2" s="8"/>
      <c r="K2" s="8"/>
      <c r="L2" s="8"/>
      <c r="M2" s="9">
        <f>(PMI!$D2+PMI!$E2)/2</f>
        <v>56.95</v>
      </c>
      <c r="N2" s="9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17564.0</v>
      </c>
      <c r="B3" s="3">
        <v>50.2</v>
      </c>
      <c r="C3" s="3">
        <v>51.1</v>
      </c>
      <c r="D3" s="3">
        <v>55.2</v>
      </c>
      <c r="E3" s="3">
        <v>55.8</v>
      </c>
      <c r="F3" s="3">
        <v>37.1</v>
      </c>
      <c r="G3" s="3">
        <v>45.3</v>
      </c>
      <c r="H3" s="11"/>
      <c r="I3" s="11"/>
      <c r="J3" s="11"/>
      <c r="K3" s="11"/>
      <c r="L3" s="11"/>
      <c r="M3" s="12">
        <f>(PMI!$D3+PMI!$E3)/2</f>
        <v>55.5</v>
      </c>
      <c r="N3" s="12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0">
        <v>17593.0</v>
      </c>
      <c r="B4" s="3">
        <v>43.3</v>
      </c>
      <c r="C4" s="3">
        <v>43.9</v>
      </c>
      <c r="D4" s="3">
        <v>47.8</v>
      </c>
      <c r="E4" s="3">
        <v>44.0</v>
      </c>
      <c r="F4" s="3">
        <v>32.7</v>
      </c>
      <c r="G4" s="3">
        <v>43.9</v>
      </c>
      <c r="H4" s="11"/>
      <c r="I4" s="3">
        <v>69.3</v>
      </c>
      <c r="J4" s="11"/>
      <c r="K4" s="11"/>
      <c r="L4" s="11"/>
      <c r="M4" s="12">
        <f>(PMI!$D4+PMI!$E4)/2</f>
        <v>45.9</v>
      </c>
      <c r="N4" s="12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0">
        <v>17624.0</v>
      </c>
      <c r="B5" s="3">
        <v>45.4</v>
      </c>
      <c r="C5" s="3">
        <v>44.5</v>
      </c>
      <c r="D5" s="3">
        <v>49.5</v>
      </c>
      <c r="E5" s="3">
        <v>43.9</v>
      </c>
      <c r="F5" s="3">
        <v>41.6</v>
      </c>
      <c r="G5" s="3">
        <v>44.5</v>
      </c>
      <c r="H5" s="11"/>
      <c r="I5" s="3">
        <v>75.8</v>
      </c>
      <c r="J5" s="11"/>
      <c r="K5" s="11"/>
      <c r="L5" s="11"/>
      <c r="M5" s="12">
        <f>(PMI!$D5+PMI!$E5)/2</f>
        <v>46.7</v>
      </c>
      <c r="N5" s="12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0">
        <v>17654.0</v>
      </c>
      <c r="B6" s="3">
        <v>49.5</v>
      </c>
      <c r="C6" s="3">
        <v>51.2</v>
      </c>
      <c r="D6" s="3">
        <v>52.1</v>
      </c>
      <c r="E6" s="3">
        <v>51.8</v>
      </c>
      <c r="F6" s="3">
        <v>40.4</v>
      </c>
      <c r="G6" s="3">
        <v>46.1</v>
      </c>
      <c r="H6" s="11"/>
      <c r="I6" s="3">
        <v>70.8</v>
      </c>
      <c r="J6" s="11"/>
      <c r="K6" s="11"/>
      <c r="L6" s="11"/>
      <c r="M6" s="12">
        <f>(PMI!$D6+PMI!$E6)/2</f>
        <v>51.95</v>
      </c>
      <c r="N6" s="12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0">
        <v>17685.0</v>
      </c>
      <c r="B7" s="3">
        <v>53.0</v>
      </c>
      <c r="C7" s="3">
        <v>58.1</v>
      </c>
      <c r="D7" s="3">
        <v>56.8</v>
      </c>
      <c r="E7" s="3">
        <v>50.8</v>
      </c>
      <c r="F7" s="3">
        <v>38.4</v>
      </c>
      <c r="G7" s="3">
        <v>47.0</v>
      </c>
      <c r="H7" s="11"/>
      <c r="I7" s="3">
        <v>78.5</v>
      </c>
      <c r="J7" s="11"/>
      <c r="K7" s="11"/>
      <c r="L7" s="11"/>
      <c r="M7" s="12">
        <f>(PMI!$D7+PMI!$E7)/2</f>
        <v>53.8</v>
      </c>
      <c r="N7" s="12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0">
        <v>17715.0</v>
      </c>
      <c r="B8" s="3">
        <v>48.4</v>
      </c>
      <c r="C8" s="3">
        <v>50.4</v>
      </c>
      <c r="D8" s="3">
        <v>51.4</v>
      </c>
      <c r="E8" s="3">
        <v>49.1</v>
      </c>
      <c r="F8" s="3">
        <v>36.8</v>
      </c>
      <c r="G8" s="3">
        <v>54.7</v>
      </c>
      <c r="H8" s="11"/>
      <c r="I8" s="3">
        <v>77.3</v>
      </c>
      <c r="J8" s="11"/>
      <c r="K8" s="11"/>
      <c r="L8" s="11"/>
      <c r="M8" s="12">
        <f>(PMI!$D8+PMI!$E8)/2</f>
        <v>50.25</v>
      </c>
      <c r="N8" s="12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0">
        <v>17746.0</v>
      </c>
      <c r="B9" s="3">
        <v>45.1</v>
      </c>
      <c r="C9" s="3">
        <v>46.0</v>
      </c>
      <c r="D9" s="3">
        <v>51.0</v>
      </c>
      <c r="E9" s="3">
        <v>46.1</v>
      </c>
      <c r="F9" s="3">
        <v>31.2</v>
      </c>
      <c r="G9" s="3">
        <v>51.1</v>
      </c>
      <c r="H9" s="11"/>
      <c r="I9" s="3">
        <v>77.0</v>
      </c>
      <c r="J9" s="11"/>
      <c r="K9" s="11"/>
      <c r="L9" s="11"/>
      <c r="M9" s="12">
        <f>(PMI!$D9+PMI!$E9)/2</f>
        <v>48.55</v>
      </c>
      <c r="N9" s="12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0">
        <v>17777.0</v>
      </c>
      <c r="B10" s="3">
        <v>42.1</v>
      </c>
      <c r="C10" s="3">
        <v>40.6</v>
      </c>
      <c r="D10" s="3">
        <v>47.9</v>
      </c>
      <c r="E10" s="3">
        <v>46.1</v>
      </c>
      <c r="F10" s="3">
        <v>28.3</v>
      </c>
      <c r="G10" s="3">
        <v>46.6</v>
      </c>
      <c r="H10" s="11"/>
      <c r="I10" s="3">
        <v>66.0</v>
      </c>
      <c r="J10" s="11"/>
      <c r="K10" s="11"/>
      <c r="L10" s="11"/>
      <c r="M10" s="12">
        <f>(PMI!$D10+PMI!$E10)/2</f>
        <v>47</v>
      </c>
      <c r="N10" s="12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0">
        <v>17807.0</v>
      </c>
      <c r="B11" s="3">
        <v>47.2</v>
      </c>
      <c r="C11" s="3">
        <v>52.1</v>
      </c>
      <c r="D11" s="3">
        <v>52.7</v>
      </c>
      <c r="E11" s="3">
        <v>47.5</v>
      </c>
      <c r="F11" s="3">
        <v>28.7</v>
      </c>
      <c r="G11" s="3">
        <v>45.2</v>
      </c>
      <c r="H11" s="11"/>
      <c r="I11" s="3">
        <v>56.6</v>
      </c>
      <c r="J11" s="11"/>
      <c r="K11" s="11"/>
      <c r="L11" s="11"/>
      <c r="M11" s="12">
        <f>(PMI!$D11+PMI!$E11)/2</f>
        <v>50.1</v>
      </c>
      <c r="N11" s="12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0">
        <v>17838.0</v>
      </c>
      <c r="B12" s="3">
        <v>42.4</v>
      </c>
      <c r="C12" s="3">
        <v>43.2</v>
      </c>
      <c r="D12" s="3">
        <v>48.9</v>
      </c>
      <c r="E12" s="3">
        <v>44.0</v>
      </c>
      <c r="F12" s="3">
        <v>28.0</v>
      </c>
      <c r="G12" s="3">
        <v>45.4</v>
      </c>
      <c r="H12" s="11"/>
      <c r="I12" s="3">
        <v>51.0</v>
      </c>
      <c r="J12" s="11"/>
      <c r="K12" s="11"/>
      <c r="L12" s="11"/>
      <c r="M12" s="12">
        <f>(PMI!$D12+PMI!$E12)/2</f>
        <v>46.45</v>
      </c>
      <c r="N12" s="12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0">
        <v>17868.0</v>
      </c>
      <c r="B13" s="3">
        <v>35.0</v>
      </c>
      <c r="C13" s="3">
        <v>34.5</v>
      </c>
      <c r="D13" s="3">
        <v>42.1</v>
      </c>
      <c r="E13" s="3">
        <v>39.0</v>
      </c>
      <c r="F13" s="3">
        <v>17.7</v>
      </c>
      <c r="G13" s="3">
        <v>42.6</v>
      </c>
      <c r="H13" s="11"/>
      <c r="I13" s="3">
        <v>47.5</v>
      </c>
      <c r="J13" s="11"/>
      <c r="K13" s="11"/>
      <c r="L13" s="11"/>
      <c r="M13" s="12">
        <f>(PMI!$D13+PMI!$E13)/2</f>
        <v>40.55</v>
      </c>
      <c r="N13" s="12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0">
        <v>17899.0</v>
      </c>
      <c r="B14" s="3">
        <v>32.9</v>
      </c>
      <c r="C14" s="3">
        <v>31.4</v>
      </c>
      <c r="D14" s="3">
        <v>42.0</v>
      </c>
      <c r="E14" s="3">
        <v>34.1</v>
      </c>
      <c r="F14" s="3">
        <v>16.6</v>
      </c>
      <c r="G14" s="3">
        <v>37.0</v>
      </c>
      <c r="H14" s="11"/>
      <c r="I14" s="3">
        <v>39.6</v>
      </c>
      <c r="J14" s="11"/>
      <c r="K14" s="11"/>
      <c r="L14" s="11"/>
      <c r="M14" s="12">
        <f>(PMI!$D14+PMI!$E14)/2</f>
        <v>38.05</v>
      </c>
      <c r="N14" s="12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0">
        <v>17930.0</v>
      </c>
      <c r="B15" s="3">
        <v>31.3</v>
      </c>
      <c r="C15" s="3">
        <v>34.2</v>
      </c>
      <c r="D15" s="3">
        <v>39.6</v>
      </c>
      <c r="E15" s="3">
        <v>28.3</v>
      </c>
      <c r="F15" s="3">
        <v>13.1</v>
      </c>
      <c r="G15" s="3">
        <v>36.6</v>
      </c>
      <c r="H15" s="11"/>
      <c r="I15" s="3">
        <v>31.3</v>
      </c>
      <c r="J15" s="11"/>
      <c r="K15" s="11"/>
      <c r="L15" s="11"/>
      <c r="M15" s="12">
        <f>(PMI!$D15+PMI!$E15)/2</f>
        <v>33.95</v>
      </c>
      <c r="N15" s="12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0">
        <v>17958.0</v>
      </c>
      <c r="B16" s="3">
        <v>34.5</v>
      </c>
      <c r="C16" s="3">
        <v>42.1</v>
      </c>
      <c r="D16" s="3">
        <v>41.9</v>
      </c>
      <c r="E16" s="3">
        <v>31.1</v>
      </c>
      <c r="F16" s="3">
        <v>12.4</v>
      </c>
      <c r="G16" s="3">
        <v>34.9</v>
      </c>
      <c r="H16" s="11"/>
      <c r="I16" s="3">
        <v>31.8</v>
      </c>
      <c r="J16" s="11"/>
      <c r="K16" s="11"/>
      <c r="L16" s="11"/>
      <c r="M16" s="12">
        <f>(PMI!$D16+PMI!$E16)/2</f>
        <v>36.5</v>
      </c>
      <c r="N16" s="12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0">
        <v>17989.0</v>
      </c>
      <c r="B17" s="3">
        <v>35.5</v>
      </c>
      <c r="C17" s="3">
        <v>42.3</v>
      </c>
      <c r="D17" s="3">
        <v>44.1</v>
      </c>
      <c r="E17" s="3">
        <v>31.6</v>
      </c>
      <c r="F17" s="3">
        <v>16.2</v>
      </c>
      <c r="G17" s="3">
        <v>33.3</v>
      </c>
      <c r="H17" s="11"/>
      <c r="I17" s="3">
        <v>13.8</v>
      </c>
      <c r="J17" s="11"/>
      <c r="K17" s="11"/>
      <c r="L17" s="11"/>
      <c r="M17" s="12">
        <f>(PMI!$D17+PMI!$E17)/2</f>
        <v>37.85</v>
      </c>
      <c r="N17" s="12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0">
        <v>18019.0</v>
      </c>
      <c r="B18" s="3">
        <v>32.6</v>
      </c>
      <c r="C18" s="3">
        <v>41.1</v>
      </c>
      <c r="D18" s="3">
        <v>38.2</v>
      </c>
      <c r="E18" s="3">
        <v>29.0</v>
      </c>
      <c r="F18" s="3">
        <v>15.5</v>
      </c>
      <c r="G18" s="3">
        <v>27.9</v>
      </c>
      <c r="H18" s="11"/>
      <c r="I18" s="3">
        <v>20.1</v>
      </c>
      <c r="J18" s="11"/>
      <c r="K18" s="11"/>
      <c r="L18" s="11"/>
      <c r="M18" s="12">
        <f>(PMI!$D18+PMI!$E18)/2</f>
        <v>33.6</v>
      </c>
      <c r="N18" s="12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0">
        <v>18050.0</v>
      </c>
      <c r="B19" s="3">
        <v>31.6</v>
      </c>
      <c r="C19" s="3">
        <v>39.8</v>
      </c>
      <c r="D19" s="3">
        <v>38.4</v>
      </c>
      <c r="E19" s="3">
        <v>27.2</v>
      </c>
      <c r="F19" s="3">
        <v>15.0</v>
      </c>
      <c r="G19" s="3">
        <v>25.5</v>
      </c>
      <c r="H19" s="11"/>
      <c r="I19" s="3">
        <v>10.6</v>
      </c>
      <c r="J19" s="11"/>
      <c r="K19" s="11"/>
      <c r="L19" s="11"/>
      <c r="M19" s="12">
        <f>(PMI!$D19+PMI!$E19)/2</f>
        <v>32.8</v>
      </c>
      <c r="N19" s="12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0">
        <v>18080.0</v>
      </c>
      <c r="B20" s="3">
        <v>39.0</v>
      </c>
      <c r="C20" s="3">
        <v>49.1</v>
      </c>
      <c r="D20" s="3">
        <v>47.0</v>
      </c>
      <c r="E20" s="3">
        <v>34.8</v>
      </c>
      <c r="F20" s="3">
        <v>22.4</v>
      </c>
      <c r="G20" s="3">
        <v>24.1</v>
      </c>
      <c r="H20" s="11"/>
      <c r="I20" s="3">
        <v>28.8</v>
      </c>
      <c r="J20" s="11"/>
      <c r="K20" s="11"/>
      <c r="L20" s="11"/>
      <c r="M20" s="12">
        <f>(PMI!$D20+PMI!$E20)/2</f>
        <v>40.9</v>
      </c>
      <c r="N20" s="12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0">
        <v>18111.0</v>
      </c>
      <c r="B21" s="3">
        <v>47.0</v>
      </c>
      <c r="C21" s="3">
        <v>55.7</v>
      </c>
      <c r="D21" s="3">
        <v>58.5</v>
      </c>
      <c r="E21" s="3">
        <v>40.0</v>
      </c>
      <c r="F21" s="3">
        <v>33.0</v>
      </c>
      <c r="G21" s="3">
        <v>21.5</v>
      </c>
      <c r="H21" s="11"/>
      <c r="I21" s="3">
        <v>42.7</v>
      </c>
      <c r="J21" s="11"/>
      <c r="K21" s="11"/>
      <c r="L21" s="11"/>
      <c r="M21" s="12">
        <f>(PMI!$D21+PMI!$E21)/2</f>
        <v>49.25</v>
      </c>
      <c r="N21" s="12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0">
        <v>18142.0</v>
      </c>
      <c r="B22" s="3">
        <v>52.3</v>
      </c>
      <c r="C22" s="3">
        <v>58.0</v>
      </c>
      <c r="D22" s="3">
        <v>60.3</v>
      </c>
      <c r="E22" s="3">
        <v>51.4</v>
      </c>
      <c r="F22" s="3">
        <v>39.9</v>
      </c>
      <c r="G22" s="3">
        <v>26.8</v>
      </c>
      <c r="H22" s="11"/>
      <c r="I22" s="3">
        <v>47.5</v>
      </c>
      <c r="J22" s="11"/>
      <c r="K22" s="11"/>
      <c r="L22" s="11"/>
      <c r="M22" s="12">
        <f>(PMI!$D22+PMI!$E22)/2</f>
        <v>55.85</v>
      </c>
      <c r="N22" s="12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0">
        <v>18172.0</v>
      </c>
      <c r="B23" s="3">
        <v>51.0</v>
      </c>
      <c r="C23" s="3">
        <v>58.9</v>
      </c>
      <c r="D23" s="3">
        <v>54.5</v>
      </c>
      <c r="E23" s="3">
        <v>43.7</v>
      </c>
      <c r="F23" s="3">
        <v>46.1</v>
      </c>
      <c r="G23" s="3">
        <v>35.8</v>
      </c>
      <c r="H23" s="11"/>
      <c r="I23" s="3">
        <v>42.1</v>
      </c>
      <c r="J23" s="11"/>
      <c r="K23" s="11"/>
      <c r="L23" s="11"/>
      <c r="M23" s="12">
        <f>(PMI!$D23+PMI!$E23)/2</f>
        <v>49.1</v>
      </c>
      <c r="N23" s="12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0">
        <v>18203.0</v>
      </c>
      <c r="B24" s="3">
        <v>51.0</v>
      </c>
      <c r="C24" s="3">
        <v>58.7</v>
      </c>
      <c r="D24" s="3">
        <v>55.7</v>
      </c>
      <c r="E24" s="3">
        <v>42.9</v>
      </c>
      <c r="F24" s="3">
        <v>51.5</v>
      </c>
      <c r="G24" s="3">
        <v>40.6</v>
      </c>
      <c r="H24" s="11"/>
      <c r="I24" s="3">
        <v>51.1</v>
      </c>
      <c r="J24" s="11"/>
      <c r="K24" s="11"/>
      <c r="L24" s="11"/>
      <c r="M24" s="12">
        <f>(PMI!$D24+PMI!$E24)/2</f>
        <v>49.3</v>
      </c>
      <c r="N24" s="12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0">
        <v>18233.0</v>
      </c>
      <c r="B25" s="3">
        <v>57.3</v>
      </c>
      <c r="C25" s="3">
        <v>53.1</v>
      </c>
      <c r="D25" s="3">
        <v>63.3</v>
      </c>
      <c r="E25" s="3">
        <v>52.6</v>
      </c>
      <c r="F25" s="3">
        <v>52.2</v>
      </c>
      <c r="G25" s="3">
        <v>31.3</v>
      </c>
      <c r="H25" s="11"/>
      <c r="I25" s="3">
        <v>49.9</v>
      </c>
      <c r="J25" s="11"/>
      <c r="K25" s="11"/>
      <c r="L25" s="11"/>
      <c r="M25" s="12">
        <f>(PMI!$D25+PMI!$E25)/2</f>
        <v>57.95</v>
      </c>
      <c r="N25" s="12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0">
        <v>18264.0</v>
      </c>
      <c r="B26" s="3">
        <v>59.1</v>
      </c>
      <c r="C26" s="3">
        <v>62.3</v>
      </c>
      <c r="D26" s="3">
        <v>64.3</v>
      </c>
      <c r="E26" s="3">
        <v>57.7</v>
      </c>
      <c r="F26" s="3">
        <v>56.3</v>
      </c>
      <c r="G26" s="3">
        <v>41.7</v>
      </c>
      <c r="H26" s="11"/>
      <c r="I26" s="3">
        <v>62.4</v>
      </c>
      <c r="J26" s="11"/>
      <c r="K26" s="11"/>
      <c r="L26" s="11"/>
      <c r="M26" s="12">
        <f>(PMI!$D26+PMI!$E26)/2</f>
        <v>61</v>
      </c>
      <c r="N26" s="12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0">
        <v>18295.0</v>
      </c>
      <c r="B27" s="3">
        <v>60.5</v>
      </c>
      <c r="C27" s="3">
        <v>62.5</v>
      </c>
      <c r="D27" s="3">
        <v>66.7</v>
      </c>
      <c r="E27" s="3">
        <v>51.1</v>
      </c>
      <c r="F27" s="3">
        <v>68.0</v>
      </c>
      <c r="G27" s="3">
        <v>43.6</v>
      </c>
      <c r="H27" s="11"/>
      <c r="I27" s="3">
        <v>70.9</v>
      </c>
      <c r="J27" s="11"/>
      <c r="K27" s="11"/>
      <c r="L27" s="11"/>
      <c r="M27" s="12">
        <f>(PMI!$D27+PMI!$E27)/2</f>
        <v>58.9</v>
      </c>
      <c r="N27" s="12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0">
        <v>18323.0</v>
      </c>
      <c r="B28" s="3">
        <v>62.1</v>
      </c>
      <c r="C28" s="3">
        <v>61.8</v>
      </c>
      <c r="D28" s="3">
        <v>65.8</v>
      </c>
      <c r="E28" s="3">
        <v>56.9</v>
      </c>
      <c r="F28" s="3">
        <v>72.0</v>
      </c>
      <c r="G28" s="3">
        <v>46.4</v>
      </c>
      <c r="H28" s="11"/>
      <c r="I28" s="3">
        <v>77.0</v>
      </c>
      <c r="J28" s="11"/>
      <c r="K28" s="11"/>
      <c r="L28" s="11"/>
      <c r="M28" s="12">
        <f>(PMI!$D28+PMI!$E28)/2</f>
        <v>61.35</v>
      </c>
      <c r="N28" s="12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0">
        <v>18354.0</v>
      </c>
      <c r="B29" s="3">
        <v>68.1</v>
      </c>
      <c r="C29" s="3">
        <v>71.0</v>
      </c>
      <c r="D29" s="3">
        <v>74.8</v>
      </c>
      <c r="E29" s="3">
        <v>63.4</v>
      </c>
      <c r="F29" s="3">
        <v>68.8</v>
      </c>
      <c r="G29" s="3">
        <v>48.8</v>
      </c>
      <c r="H29" s="11"/>
      <c r="I29" s="3">
        <v>80.2</v>
      </c>
      <c r="J29" s="11"/>
      <c r="K29" s="11"/>
      <c r="L29" s="11"/>
      <c r="M29" s="12">
        <f>(PMI!$D29+PMI!$E29)/2</f>
        <v>69.1</v>
      </c>
      <c r="N29" s="12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0">
        <v>18384.0</v>
      </c>
      <c r="B30" s="3">
        <v>74.7</v>
      </c>
      <c r="C30" s="3">
        <v>76.6</v>
      </c>
      <c r="D30" s="3">
        <v>78.1</v>
      </c>
      <c r="E30" s="3">
        <v>69.8</v>
      </c>
      <c r="F30" s="3">
        <v>82.9</v>
      </c>
      <c r="G30" s="3">
        <v>50.6</v>
      </c>
      <c r="H30" s="11"/>
      <c r="I30" s="3">
        <v>98.2</v>
      </c>
      <c r="J30" s="11"/>
      <c r="K30" s="11"/>
      <c r="L30" s="11"/>
      <c r="M30" s="12">
        <f>(PMI!$D30+PMI!$E30)/2</f>
        <v>73.95</v>
      </c>
      <c r="N30" s="12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0">
        <v>18415.0</v>
      </c>
      <c r="B31" s="3">
        <v>76.6</v>
      </c>
      <c r="C31" s="3">
        <v>82.6</v>
      </c>
      <c r="D31" s="3">
        <v>79.1</v>
      </c>
      <c r="E31" s="3">
        <v>71.9</v>
      </c>
      <c r="F31" s="3">
        <v>76.5</v>
      </c>
      <c r="G31" s="3">
        <v>58.2</v>
      </c>
      <c r="H31" s="11"/>
      <c r="I31" s="3">
        <v>100.0</v>
      </c>
      <c r="J31" s="11"/>
      <c r="K31" s="11"/>
      <c r="L31" s="11"/>
      <c r="M31" s="12">
        <f>(PMI!$D31+PMI!$E31)/2</f>
        <v>75.5</v>
      </c>
      <c r="N31" s="12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0">
        <v>18445.0</v>
      </c>
      <c r="B32" s="3">
        <v>77.5</v>
      </c>
      <c r="C32" s="3">
        <v>80.3</v>
      </c>
      <c r="D32" s="3">
        <v>77.1</v>
      </c>
      <c r="E32" s="3">
        <v>72.5</v>
      </c>
      <c r="F32" s="3">
        <v>89.4</v>
      </c>
      <c r="G32" s="3">
        <v>62.1</v>
      </c>
      <c r="H32" s="11"/>
      <c r="I32" s="3">
        <v>90.7</v>
      </c>
      <c r="J32" s="11"/>
      <c r="K32" s="11"/>
      <c r="L32" s="11"/>
      <c r="M32" s="12">
        <f>(PMI!$D32+PMI!$E32)/2</f>
        <v>74.8</v>
      </c>
      <c r="N32" s="12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0">
        <v>18476.0</v>
      </c>
      <c r="B33" s="3">
        <v>75.8</v>
      </c>
      <c r="C33" s="3">
        <v>77.1</v>
      </c>
      <c r="D33" s="3">
        <v>78.7</v>
      </c>
      <c r="E33" s="3">
        <v>72.3</v>
      </c>
      <c r="F33" s="3">
        <v>81.7</v>
      </c>
      <c r="G33" s="3">
        <v>62.7</v>
      </c>
      <c r="H33" s="11"/>
      <c r="I33" s="3">
        <v>84.8</v>
      </c>
      <c r="J33" s="11"/>
      <c r="K33" s="11"/>
      <c r="L33" s="11"/>
      <c r="M33" s="12">
        <f>(PMI!$D33+PMI!$E33)/2</f>
        <v>75.5</v>
      </c>
      <c r="N33" s="12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0">
        <v>18507.0</v>
      </c>
      <c r="B34" s="3">
        <v>68.1</v>
      </c>
      <c r="C34" s="3">
        <v>66.4</v>
      </c>
      <c r="D34" s="3">
        <v>68.6</v>
      </c>
      <c r="E34" s="3">
        <v>72.2</v>
      </c>
      <c r="F34" s="3">
        <v>73.7</v>
      </c>
      <c r="G34" s="3">
        <v>62.3</v>
      </c>
      <c r="H34" s="11"/>
      <c r="I34" s="3">
        <v>84.4</v>
      </c>
      <c r="J34" s="11"/>
      <c r="K34" s="11"/>
      <c r="L34" s="11"/>
      <c r="M34" s="12">
        <f>(PMI!$D34+PMI!$E34)/2</f>
        <v>70.4</v>
      </c>
      <c r="N34" s="12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0">
        <v>18537.0</v>
      </c>
      <c r="B35" s="3">
        <v>59.2</v>
      </c>
      <c r="C35" s="3">
        <v>49.0</v>
      </c>
      <c r="D35" s="3">
        <v>62.9</v>
      </c>
      <c r="E35" s="3">
        <v>65.6</v>
      </c>
      <c r="F35" s="3">
        <v>70.3</v>
      </c>
      <c r="G35" s="3">
        <v>55.2</v>
      </c>
      <c r="H35" s="11"/>
      <c r="I35" s="3">
        <v>84.8</v>
      </c>
      <c r="J35" s="11"/>
      <c r="K35" s="11"/>
      <c r="L35" s="11"/>
      <c r="M35" s="12">
        <f>(PMI!$D35+PMI!$E35)/2</f>
        <v>64.25</v>
      </c>
      <c r="N35" s="12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0">
        <v>18568.0</v>
      </c>
      <c r="B36" s="3">
        <v>63.1</v>
      </c>
      <c r="C36" s="3">
        <v>57.2</v>
      </c>
      <c r="D36" s="3">
        <v>63.6</v>
      </c>
      <c r="E36" s="3">
        <v>66.7</v>
      </c>
      <c r="F36" s="3">
        <v>79.1</v>
      </c>
      <c r="G36" s="3">
        <v>50.6</v>
      </c>
      <c r="H36" s="11"/>
      <c r="I36" s="3">
        <v>85.1</v>
      </c>
      <c r="J36" s="11"/>
      <c r="K36" s="11"/>
      <c r="L36" s="11"/>
      <c r="M36" s="12">
        <f>(PMI!$D36+PMI!$E36)/2</f>
        <v>65.15</v>
      </c>
      <c r="N36" s="12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0">
        <v>18598.0</v>
      </c>
      <c r="B37" s="3">
        <v>67.1</v>
      </c>
      <c r="C37" s="3">
        <v>67.7</v>
      </c>
      <c r="D37" s="3">
        <v>62.5</v>
      </c>
      <c r="E37" s="3">
        <v>65.1</v>
      </c>
      <c r="F37" s="3">
        <v>87.5</v>
      </c>
      <c r="G37" s="3">
        <v>48.3</v>
      </c>
      <c r="H37" s="11"/>
      <c r="I37" s="3">
        <v>91.1</v>
      </c>
      <c r="J37" s="11"/>
      <c r="K37" s="11"/>
      <c r="L37" s="11"/>
      <c r="M37" s="12">
        <f>(PMI!$D37+PMI!$E37)/2</f>
        <v>63.8</v>
      </c>
      <c r="N37" s="12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0">
        <v>18629.0</v>
      </c>
      <c r="B38" s="3">
        <v>67.8</v>
      </c>
      <c r="C38" s="3">
        <v>67.9</v>
      </c>
      <c r="D38" s="3">
        <v>63.0</v>
      </c>
      <c r="E38" s="3">
        <v>67.8</v>
      </c>
      <c r="F38" s="3">
        <v>88.7</v>
      </c>
      <c r="G38" s="3">
        <v>49.7</v>
      </c>
      <c r="H38" s="11"/>
      <c r="I38" s="3">
        <v>85.1</v>
      </c>
      <c r="J38" s="11"/>
      <c r="K38" s="11"/>
      <c r="L38" s="11"/>
      <c r="M38" s="12">
        <f>(PMI!$D38+PMI!$E38)/2</f>
        <v>65.4</v>
      </c>
      <c r="N38" s="12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0">
        <v>18660.0</v>
      </c>
      <c r="B39" s="3">
        <v>69.3</v>
      </c>
      <c r="C39" s="3">
        <v>70.0</v>
      </c>
      <c r="D39" s="3">
        <v>61.4</v>
      </c>
      <c r="E39" s="3">
        <v>73.7</v>
      </c>
      <c r="F39" s="3">
        <v>93.3</v>
      </c>
      <c r="G39" s="3">
        <v>48.0</v>
      </c>
      <c r="H39" s="11"/>
      <c r="I39" s="3">
        <v>86.5</v>
      </c>
      <c r="J39" s="11"/>
      <c r="K39" s="11"/>
      <c r="L39" s="11"/>
      <c r="M39" s="12">
        <f>(PMI!$D39+PMI!$E39)/2</f>
        <v>67.55</v>
      </c>
      <c r="N39" s="12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0">
        <v>18688.0</v>
      </c>
      <c r="B40" s="3">
        <v>65.5</v>
      </c>
      <c r="C40" s="3">
        <v>61.0</v>
      </c>
      <c r="D40" s="3">
        <v>61.2</v>
      </c>
      <c r="E40" s="3">
        <v>72.0</v>
      </c>
      <c r="F40" s="3">
        <v>85.1</v>
      </c>
      <c r="G40" s="3">
        <v>42.1</v>
      </c>
      <c r="H40" s="11"/>
      <c r="I40" s="3">
        <v>76.6</v>
      </c>
      <c r="J40" s="11"/>
      <c r="K40" s="11"/>
      <c r="L40" s="11"/>
      <c r="M40" s="12">
        <f>(PMI!$D40+PMI!$E40)/2</f>
        <v>66.6</v>
      </c>
      <c r="N40" s="12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0">
        <v>18719.0</v>
      </c>
      <c r="B41" s="3">
        <v>53.5</v>
      </c>
      <c r="C41" s="3">
        <v>42.3</v>
      </c>
      <c r="D41" s="3">
        <v>53.5</v>
      </c>
      <c r="E41" s="3">
        <v>61.9</v>
      </c>
      <c r="F41" s="3">
        <v>65.7</v>
      </c>
      <c r="G41" s="3">
        <v>47.4</v>
      </c>
      <c r="H41" s="11"/>
      <c r="I41" s="3">
        <v>68.5</v>
      </c>
      <c r="J41" s="11"/>
      <c r="K41" s="11"/>
      <c r="L41" s="11"/>
      <c r="M41" s="12">
        <f>(PMI!$D41+PMI!$E41)/2</f>
        <v>57.7</v>
      </c>
      <c r="N41" s="12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0">
        <v>18749.0</v>
      </c>
      <c r="B42" s="3">
        <v>50.7</v>
      </c>
      <c r="C42" s="3">
        <v>45.2</v>
      </c>
      <c r="D42" s="3">
        <v>54.2</v>
      </c>
      <c r="E42" s="3">
        <v>58.8</v>
      </c>
      <c r="F42" s="3">
        <v>45.0</v>
      </c>
      <c r="G42" s="3">
        <v>51.8</v>
      </c>
      <c r="H42" s="11"/>
      <c r="I42" s="3">
        <v>63.6</v>
      </c>
      <c r="J42" s="11"/>
      <c r="K42" s="11"/>
      <c r="L42" s="11"/>
      <c r="M42" s="12">
        <f>(PMI!$D42+PMI!$E42)/2</f>
        <v>56.5</v>
      </c>
      <c r="N42" s="12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0">
        <v>18780.0</v>
      </c>
      <c r="B43" s="3">
        <v>45.5</v>
      </c>
      <c r="C43" s="3">
        <v>39.1</v>
      </c>
      <c r="D43" s="3">
        <v>48.6</v>
      </c>
      <c r="E43" s="3">
        <v>56.4</v>
      </c>
      <c r="F43" s="3">
        <v>36.7</v>
      </c>
      <c r="G43" s="3">
        <v>51.2</v>
      </c>
      <c r="H43" s="11"/>
      <c r="I43" s="3">
        <v>52.1</v>
      </c>
      <c r="J43" s="11"/>
      <c r="K43" s="11"/>
      <c r="L43" s="11"/>
      <c r="M43" s="12">
        <f>(PMI!$D43+PMI!$E43)/2</f>
        <v>52.5</v>
      </c>
      <c r="N43" s="12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0">
        <v>18810.0</v>
      </c>
      <c r="B44" s="3">
        <v>42.1</v>
      </c>
      <c r="C44" s="3">
        <v>38.2</v>
      </c>
      <c r="D44" s="3">
        <v>41.6</v>
      </c>
      <c r="E44" s="3">
        <v>53.2</v>
      </c>
      <c r="F44" s="3">
        <v>32.2</v>
      </c>
      <c r="G44" s="3">
        <v>48.4</v>
      </c>
      <c r="H44" s="11"/>
      <c r="I44" s="3">
        <v>46.4</v>
      </c>
      <c r="J44" s="11"/>
      <c r="K44" s="11"/>
      <c r="L44" s="11"/>
      <c r="M44" s="12">
        <f>(PMI!$D44+PMI!$E44)/2</f>
        <v>47.4</v>
      </c>
      <c r="N44" s="12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0">
        <v>18841.0</v>
      </c>
      <c r="B45" s="3">
        <v>43.6</v>
      </c>
      <c r="C45" s="3">
        <v>38.5</v>
      </c>
      <c r="D45" s="3">
        <v>48.4</v>
      </c>
      <c r="E45" s="3">
        <v>51.7</v>
      </c>
      <c r="F45" s="3">
        <v>32.0</v>
      </c>
      <c r="G45" s="3">
        <v>47.8</v>
      </c>
      <c r="H45" s="11"/>
      <c r="I45" s="3">
        <v>43.2</v>
      </c>
      <c r="J45" s="11"/>
      <c r="K45" s="11"/>
      <c r="L45" s="11"/>
      <c r="M45" s="12">
        <f>(PMI!$D45+PMI!$E45)/2</f>
        <v>50.05</v>
      </c>
      <c r="N45" s="12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0">
        <v>18872.0</v>
      </c>
      <c r="B46" s="3">
        <v>48.1</v>
      </c>
      <c r="C46" s="3">
        <v>48.2</v>
      </c>
      <c r="D46" s="3">
        <v>50.2</v>
      </c>
      <c r="E46" s="3">
        <v>48.6</v>
      </c>
      <c r="F46" s="3">
        <v>46.4</v>
      </c>
      <c r="G46" s="3">
        <v>46.7</v>
      </c>
      <c r="H46" s="11"/>
      <c r="I46" s="3">
        <v>45.7</v>
      </c>
      <c r="J46" s="11"/>
      <c r="K46" s="11"/>
      <c r="L46" s="11"/>
      <c r="M46" s="12">
        <f>(PMI!$D46+PMI!$E46)/2</f>
        <v>49.4</v>
      </c>
      <c r="N46" s="12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0">
        <v>18902.0</v>
      </c>
      <c r="B47" s="3">
        <v>49.6</v>
      </c>
      <c r="C47" s="3">
        <v>51.7</v>
      </c>
      <c r="D47" s="3">
        <v>50.3</v>
      </c>
      <c r="E47" s="3">
        <v>51.1</v>
      </c>
      <c r="F47" s="3">
        <v>47.2</v>
      </c>
      <c r="G47" s="3">
        <v>43.8</v>
      </c>
      <c r="H47" s="11"/>
      <c r="I47" s="3">
        <v>54.4</v>
      </c>
      <c r="J47" s="11"/>
      <c r="K47" s="11"/>
      <c r="L47" s="11"/>
      <c r="M47" s="12">
        <f>(PMI!$D47+PMI!$E47)/2</f>
        <v>50.7</v>
      </c>
      <c r="N47" s="12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0">
        <v>18933.0</v>
      </c>
      <c r="B48" s="3">
        <v>47.2</v>
      </c>
      <c r="C48" s="3">
        <v>49.3</v>
      </c>
      <c r="D48" s="3">
        <v>50.9</v>
      </c>
      <c r="E48" s="3">
        <v>50.2</v>
      </c>
      <c r="F48" s="3">
        <v>34.9</v>
      </c>
      <c r="G48" s="3">
        <v>42.0</v>
      </c>
      <c r="H48" s="11"/>
      <c r="I48" s="3">
        <v>55.6</v>
      </c>
      <c r="J48" s="11"/>
      <c r="K48" s="11"/>
      <c r="L48" s="11"/>
      <c r="M48" s="12">
        <f>(PMI!$D48+PMI!$E48)/2</f>
        <v>50.55</v>
      </c>
      <c r="N48" s="12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0">
        <v>18963.0</v>
      </c>
      <c r="B49" s="3">
        <v>46.5</v>
      </c>
      <c r="C49" s="3">
        <v>45.3</v>
      </c>
      <c r="D49" s="3">
        <v>52.8</v>
      </c>
      <c r="E49" s="3">
        <v>51.8</v>
      </c>
      <c r="F49" s="3">
        <v>33.6</v>
      </c>
      <c r="G49" s="3">
        <v>44.5</v>
      </c>
      <c r="H49" s="11"/>
      <c r="I49" s="3">
        <v>56.6</v>
      </c>
      <c r="J49" s="11"/>
      <c r="K49" s="11"/>
      <c r="L49" s="11"/>
      <c r="M49" s="12">
        <f>(PMI!$D49+PMI!$E49)/2</f>
        <v>52.3</v>
      </c>
      <c r="N49" s="12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0">
        <v>18994.0</v>
      </c>
      <c r="B50" s="3">
        <v>44.7</v>
      </c>
      <c r="C50" s="3">
        <v>46.8</v>
      </c>
      <c r="D50" s="3">
        <v>49.5</v>
      </c>
      <c r="E50" s="3">
        <v>46.9</v>
      </c>
      <c r="F50" s="3">
        <v>31.3</v>
      </c>
      <c r="G50" s="3">
        <v>42.6</v>
      </c>
      <c r="H50" s="11"/>
      <c r="I50" s="3">
        <v>51.8</v>
      </c>
      <c r="J50" s="11"/>
      <c r="K50" s="11"/>
      <c r="L50" s="11"/>
      <c r="M50" s="12">
        <f>(PMI!$D50+PMI!$E50)/2</f>
        <v>48.2</v>
      </c>
      <c r="N50" s="12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0">
        <v>19025.0</v>
      </c>
      <c r="B51" s="3">
        <v>41.8</v>
      </c>
      <c r="C51" s="3">
        <v>42.3</v>
      </c>
      <c r="D51" s="3">
        <v>49.9</v>
      </c>
      <c r="E51" s="3">
        <v>44.8</v>
      </c>
      <c r="F51" s="3">
        <v>24.9</v>
      </c>
      <c r="G51" s="3">
        <v>42.5</v>
      </c>
      <c r="H51" s="11"/>
      <c r="I51" s="3">
        <v>52.7</v>
      </c>
      <c r="J51" s="11"/>
      <c r="K51" s="11"/>
      <c r="L51" s="11"/>
      <c r="M51" s="12">
        <f>(PMI!$D51+PMI!$E51)/2</f>
        <v>47.35</v>
      </c>
      <c r="N51" s="12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0">
        <v>19054.0</v>
      </c>
      <c r="B52" s="3">
        <v>40.0</v>
      </c>
      <c r="C52" s="3">
        <v>43.7</v>
      </c>
      <c r="D52" s="3">
        <v>48.7</v>
      </c>
      <c r="E52" s="3">
        <v>41.8</v>
      </c>
      <c r="F52" s="3">
        <v>18.8</v>
      </c>
      <c r="G52" s="3">
        <v>39.3</v>
      </c>
      <c r="H52" s="11"/>
      <c r="I52" s="3">
        <v>44.7</v>
      </c>
      <c r="J52" s="11"/>
      <c r="K52" s="11"/>
      <c r="L52" s="11"/>
      <c r="M52" s="12">
        <f>(PMI!$D52+PMI!$E52)/2</f>
        <v>45.25</v>
      </c>
      <c r="N52" s="12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0">
        <v>19085.0</v>
      </c>
      <c r="B53" s="3">
        <v>36.7</v>
      </c>
      <c r="C53" s="3">
        <v>35.8</v>
      </c>
      <c r="D53" s="3">
        <v>43.5</v>
      </c>
      <c r="E53" s="3">
        <v>43.3</v>
      </c>
      <c r="F53" s="3">
        <v>19.4</v>
      </c>
      <c r="G53" s="3">
        <v>35.6</v>
      </c>
      <c r="H53" s="11"/>
      <c r="I53" s="3">
        <v>42.6</v>
      </c>
      <c r="J53" s="11"/>
      <c r="K53" s="11"/>
      <c r="L53" s="11"/>
      <c r="M53" s="12">
        <f>(PMI!$D53+PMI!$E53)/2</f>
        <v>43.4</v>
      </c>
      <c r="N53" s="12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0">
        <v>19115.0</v>
      </c>
      <c r="B54" s="3">
        <v>39.5</v>
      </c>
      <c r="C54" s="3">
        <v>43.9</v>
      </c>
      <c r="D54" s="3">
        <v>45.7</v>
      </c>
      <c r="E54" s="3">
        <v>42.7</v>
      </c>
      <c r="F54" s="3">
        <v>22.4</v>
      </c>
      <c r="G54" s="3">
        <v>35.4</v>
      </c>
      <c r="H54" s="11"/>
      <c r="I54" s="3">
        <v>38.8</v>
      </c>
      <c r="J54" s="11"/>
      <c r="K54" s="11"/>
      <c r="L54" s="11"/>
      <c r="M54" s="12">
        <f>(PMI!$D54+PMI!$E54)/2</f>
        <v>44.2</v>
      </c>
      <c r="N54" s="12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0">
        <v>19146.0</v>
      </c>
      <c r="B55" s="3">
        <v>43.3</v>
      </c>
      <c r="C55" s="3">
        <v>46.3</v>
      </c>
      <c r="D55" s="3">
        <v>49.5</v>
      </c>
      <c r="E55" s="3">
        <v>43.5</v>
      </c>
      <c r="F55" s="3">
        <v>33.0</v>
      </c>
      <c r="G55" s="3">
        <v>30.3</v>
      </c>
      <c r="H55" s="11"/>
      <c r="I55" s="3">
        <v>40.4</v>
      </c>
      <c r="J55" s="11"/>
      <c r="K55" s="11"/>
      <c r="L55" s="11"/>
      <c r="M55" s="12">
        <f>(PMI!$D55+PMI!$E55)/2</f>
        <v>46.5</v>
      </c>
      <c r="N55" s="12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0">
        <v>19176.0</v>
      </c>
      <c r="B56" s="3">
        <v>48.3</v>
      </c>
      <c r="C56" s="3">
        <v>69.4</v>
      </c>
      <c r="D56" s="3">
        <v>37.2</v>
      </c>
      <c r="E56" s="3">
        <v>39.5</v>
      </c>
      <c r="F56" s="3">
        <v>47.4</v>
      </c>
      <c r="G56" s="3">
        <v>33.8</v>
      </c>
      <c r="H56" s="11"/>
      <c r="I56" s="3">
        <v>60.1</v>
      </c>
      <c r="J56" s="11"/>
      <c r="K56" s="11"/>
      <c r="L56" s="11"/>
      <c r="M56" s="12">
        <f>(PMI!$D56+PMI!$E56)/2</f>
        <v>38.35</v>
      </c>
      <c r="N56" s="12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0">
        <v>19207.0</v>
      </c>
      <c r="B57" s="3">
        <v>60.4</v>
      </c>
      <c r="C57" s="3">
        <v>58.5</v>
      </c>
      <c r="D57" s="3">
        <v>84.0</v>
      </c>
      <c r="E57" s="3">
        <v>63.1</v>
      </c>
      <c r="F57" s="3">
        <v>41.2</v>
      </c>
      <c r="G57" s="3">
        <v>31.6</v>
      </c>
      <c r="H57" s="11"/>
      <c r="I57" s="3">
        <v>54.7</v>
      </c>
      <c r="J57" s="11"/>
      <c r="K57" s="11"/>
      <c r="L57" s="11"/>
      <c r="M57" s="12">
        <f>(PMI!$D57+PMI!$E57)/2</f>
        <v>73.55</v>
      </c>
      <c r="N57" s="12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0">
        <v>19238.0</v>
      </c>
      <c r="B58" s="3">
        <v>56.1</v>
      </c>
      <c r="C58" s="3">
        <v>60.3</v>
      </c>
      <c r="D58" s="3">
        <v>66.0</v>
      </c>
      <c r="E58" s="3">
        <v>56.2</v>
      </c>
      <c r="F58" s="3">
        <v>42.7</v>
      </c>
      <c r="G58" s="3">
        <v>30.5</v>
      </c>
      <c r="H58" s="11"/>
      <c r="I58" s="3">
        <v>57.9</v>
      </c>
      <c r="J58" s="11"/>
      <c r="K58" s="11"/>
      <c r="L58" s="11"/>
      <c r="M58" s="12">
        <f>(PMI!$D58+PMI!$E58)/2</f>
        <v>61.1</v>
      </c>
      <c r="N58" s="12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0">
        <v>19268.0</v>
      </c>
      <c r="B59" s="3">
        <v>56.2</v>
      </c>
      <c r="C59" s="3">
        <v>59.9</v>
      </c>
      <c r="D59" s="3">
        <v>65.3</v>
      </c>
      <c r="E59" s="3">
        <v>57.8</v>
      </c>
      <c r="F59" s="3">
        <v>43.3</v>
      </c>
      <c r="G59" s="3">
        <v>38.6</v>
      </c>
      <c r="H59" s="11"/>
      <c r="I59" s="3">
        <v>54.1</v>
      </c>
      <c r="J59" s="11"/>
      <c r="K59" s="11"/>
      <c r="L59" s="11"/>
      <c r="M59" s="12">
        <f>(PMI!$D59+PMI!$E59)/2</f>
        <v>61.55</v>
      </c>
      <c r="N59" s="12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0">
        <v>19299.0</v>
      </c>
      <c r="B60" s="3">
        <v>56.8</v>
      </c>
      <c r="C60" s="3">
        <v>58.8</v>
      </c>
      <c r="D60" s="3">
        <v>65.0</v>
      </c>
      <c r="E60" s="3">
        <v>60.9</v>
      </c>
      <c r="F60" s="3">
        <v>45.0</v>
      </c>
      <c r="G60" s="3">
        <v>38.2</v>
      </c>
      <c r="H60" s="11"/>
      <c r="I60" s="3">
        <v>49.7</v>
      </c>
      <c r="J60" s="11"/>
      <c r="K60" s="11"/>
      <c r="L60" s="11"/>
      <c r="M60" s="12">
        <f>(PMI!$D60+PMI!$E60)/2</f>
        <v>62.95</v>
      </c>
      <c r="N60" s="12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0">
        <v>19329.0</v>
      </c>
      <c r="B61" s="3">
        <v>55.8</v>
      </c>
      <c r="C61" s="3">
        <v>60.4</v>
      </c>
      <c r="D61" s="3">
        <v>64.3</v>
      </c>
      <c r="E61" s="3">
        <v>55.6</v>
      </c>
      <c r="F61" s="3">
        <v>43.5</v>
      </c>
      <c r="G61" s="3">
        <v>39.9</v>
      </c>
      <c r="H61" s="11"/>
      <c r="I61" s="3">
        <v>48.2</v>
      </c>
      <c r="J61" s="11"/>
      <c r="K61" s="11"/>
      <c r="L61" s="11"/>
      <c r="M61" s="12">
        <f>(PMI!$D61+PMI!$E61)/2</f>
        <v>59.95</v>
      </c>
      <c r="N61" s="12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0">
        <v>19360.0</v>
      </c>
      <c r="B62" s="3">
        <v>59.4</v>
      </c>
      <c r="C62" s="3">
        <v>64.6</v>
      </c>
      <c r="D62" s="3">
        <v>69.8</v>
      </c>
      <c r="E62" s="3">
        <v>61.5</v>
      </c>
      <c r="F62" s="3">
        <v>41.5</v>
      </c>
      <c r="G62" s="3">
        <v>40.0</v>
      </c>
      <c r="H62" s="11"/>
      <c r="I62" s="3">
        <v>45.1</v>
      </c>
      <c r="J62" s="11"/>
      <c r="K62" s="11"/>
      <c r="L62" s="11"/>
      <c r="M62" s="12">
        <f>(PMI!$D62+PMI!$E62)/2</f>
        <v>65.65</v>
      </c>
      <c r="N62" s="12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0">
        <v>19391.0</v>
      </c>
      <c r="B63" s="3">
        <v>55.4</v>
      </c>
      <c r="C63" s="3">
        <v>56.0</v>
      </c>
      <c r="D63" s="3">
        <v>62.4</v>
      </c>
      <c r="E63" s="3">
        <v>61.7</v>
      </c>
      <c r="F63" s="3">
        <v>41.8</v>
      </c>
      <c r="G63" s="3">
        <v>40.9</v>
      </c>
      <c r="H63" s="11"/>
      <c r="I63" s="3">
        <v>54.5</v>
      </c>
      <c r="J63" s="11"/>
      <c r="K63" s="11"/>
      <c r="L63" s="11"/>
      <c r="M63" s="12">
        <f>(PMI!$D63+PMI!$E63)/2</f>
        <v>62.05</v>
      </c>
      <c r="N63" s="12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0">
        <v>19419.0</v>
      </c>
      <c r="B64" s="3">
        <v>50.5</v>
      </c>
      <c r="C64" s="3">
        <v>47.2</v>
      </c>
      <c r="D64" s="3">
        <v>54.0</v>
      </c>
      <c r="E64" s="3">
        <v>59.4</v>
      </c>
      <c r="F64" s="3">
        <v>41.8</v>
      </c>
      <c r="G64" s="3">
        <v>44.3</v>
      </c>
      <c r="H64" s="11"/>
      <c r="I64" s="3">
        <v>73.3</v>
      </c>
      <c r="J64" s="11"/>
      <c r="K64" s="11"/>
      <c r="L64" s="11"/>
      <c r="M64" s="12">
        <f>(PMI!$D64+PMI!$E64)/2</f>
        <v>56.7</v>
      </c>
      <c r="N64" s="12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0">
        <v>19450.0</v>
      </c>
      <c r="B65" s="3">
        <v>51.1</v>
      </c>
      <c r="C65" s="3">
        <v>52.0</v>
      </c>
      <c r="D65" s="3">
        <v>57.3</v>
      </c>
      <c r="E65" s="3">
        <v>55.0</v>
      </c>
      <c r="F65" s="3">
        <v>38.6</v>
      </c>
      <c r="G65" s="3">
        <v>46.4</v>
      </c>
      <c r="H65" s="11"/>
      <c r="I65" s="3">
        <v>69.3</v>
      </c>
      <c r="J65" s="11"/>
      <c r="K65" s="11"/>
      <c r="L65" s="11"/>
      <c r="M65" s="12">
        <f>(PMI!$D65+PMI!$E65)/2</f>
        <v>56.15</v>
      </c>
      <c r="N65" s="12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0">
        <v>19480.0</v>
      </c>
      <c r="B66" s="3">
        <v>48.9</v>
      </c>
      <c r="C66" s="3">
        <v>49.3</v>
      </c>
      <c r="D66" s="3">
        <v>57.1</v>
      </c>
      <c r="E66" s="3">
        <v>52.3</v>
      </c>
      <c r="F66" s="3">
        <v>35.1</v>
      </c>
      <c r="G66" s="3">
        <v>43.8</v>
      </c>
      <c r="H66" s="11"/>
      <c r="I66" s="3">
        <v>72.3</v>
      </c>
      <c r="J66" s="11"/>
      <c r="K66" s="11"/>
      <c r="L66" s="11"/>
      <c r="M66" s="12">
        <f>(PMI!$D66+PMI!$E66)/2</f>
        <v>54.7</v>
      </c>
      <c r="N66" s="12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0">
        <v>19511.0</v>
      </c>
      <c r="B67" s="3">
        <v>48.5</v>
      </c>
      <c r="C67" s="3">
        <v>48.3</v>
      </c>
      <c r="D67" s="3">
        <v>55.2</v>
      </c>
      <c r="E67" s="3">
        <v>53.8</v>
      </c>
      <c r="F67" s="3">
        <v>33.3</v>
      </c>
      <c r="G67" s="3">
        <v>41.2</v>
      </c>
      <c r="H67" s="11"/>
      <c r="I67" s="3">
        <v>69.7</v>
      </c>
      <c r="J67" s="11"/>
      <c r="K67" s="11"/>
      <c r="L67" s="11"/>
      <c r="M67" s="12">
        <f>(PMI!$D67+PMI!$E67)/2</f>
        <v>54.5</v>
      </c>
      <c r="N67" s="12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0">
        <v>19541.0</v>
      </c>
      <c r="B68" s="3">
        <v>46.3</v>
      </c>
      <c r="C68" s="3">
        <v>44.2</v>
      </c>
      <c r="D68" s="3">
        <v>53.1</v>
      </c>
      <c r="E68" s="3">
        <v>54.4</v>
      </c>
      <c r="F68" s="3">
        <v>28.5</v>
      </c>
      <c r="G68" s="3">
        <v>44.6</v>
      </c>
      <c r="H68" s="11"/>
      <c r="I68" s="3">
        <v>62.0</v>
      </c>
      <c r="J68" s="11"/>
      <c r="K68" s="11"/>
      <c r="L68" s="11"/>
      <c r="M68" s="12">
        <f>(PMI!$D68+PMI!$E68)/2</f>
        <v>53.75</v>
      </c>
      <c r="N68" s="12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0">
        <v>19572.0</v>
      </c>
      <c r="B69" s="3">
        <v>43.5</v>
      </c>
      <c r="C69" s="3">
        <v>42.1</v>
      </c>
      <c r="D69" s="3">
        <v>50.7</v>
      </c>
      <c r="E69" s="3">
        <v>48.1</v>
      </c>
      <c r="F69" s="3">
        <v>26.5</v>
      </c>
      <c r="G69" s="3">
        <v>45.6</v>
      </c>
      <c r="H69" s="11"/>
      <c r="I69" s="3">
        <v>55.8</v>
      </c>
      <c r="J69" s="11"/>
      <c r="K69" s="11"/>
      <c r="L69" s="11"/>
      <c r="M69" s="12">
        <f>(PMI!$D69+PMI!$E69)/2</f>
        <v>49.4</v>
      </c>
      <c r="N69" s="12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0">
        <v>19603.0</v>
      </c>
      <c r="B70" s="3">
        <v>40.2</v>
      </c>
      <c r="C70" s="3">
        <v>39.9</v>
      </c>
      <c r="D70" s="3">
        <v>46.8</v>
      </c>
      <c r="E70" s="3">
        <v>43.8</v>
      </c>
      <c r="F70" s="3">
        <v>23.2</v>
      </c>
      <c r="G70" s="3">
        <v>46.2</v>
      </c>
      <c r="H70" s="11"/>
      <c r="I70" s="3">
        <v>43.8</v>
      </c>
      <c r="J70" s="11"/>
      <c r="K70" s="11"/>
      <c r="L70" s="11"/>
      <c r="M70" s="12">
        <f>(PMI!$D70+PMI!$E70)/2</f>
        <v>45.3</v>
      </c>
      <c r="N70" s="12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0">
        <v>19633.0</v>
      </c>
      <c r="B71" s="3">
        <v>37.4</v>
      </c>
      <c r="C71" s="3">
        <v>38.0</v>
      </c>
      <c r="D71" s="3">
        <v>44.6</v>
      </c>
      <c r="E71" s="3">
        <v>37.9</v>
      </c>
      <c r="F71" s="3">
        <v>20.7</v>
      </c>
      <c r="G71" s="3">
        <v>43.3</v>
      </c>
      <c r="H71" s="11"/>
      <c r="I71" s="3">
        <v>45.1</v>
      </c>
      <c r="J71" s="11"/>
      <c r="K71" s="11"/>
      <c r="L71" s="11"/>
      <c r="M71" s="12">
        <f>(PMI!$D71+PMI!$E71)/2</f>
        <v>41.25</v>
      </c>
      <c r="N71" s="12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0">
        <v>19664.0</v>
      </c>
      <c r="B72" s="3">
        <v>36.9</v>
      </c>
      <c r="C72" s="3">
        <v>40.9</v>
      </c>
      <c r="D72" s="3">
        <v>43.4</v>
      </c>
      <c r="E72" s="3">
        <v>35.8</v>
      </c>
      <c r="F72" s="3">
        <v>20.2</v>
      </c>
      <c r="G72" s="3">
        <v>41.3</v>
      </c>
      <c r="H72" s="11"/>
      <c r="I72" s="3">
        <v>47.0</v>
      </c>
      <c r="J72" s="11"/>
      <c r="K72" s="11"/>
      <c r="L72" s="11"/>
      <c r="M72" s="12">
        <f>(PMI!$D72+PMI!$E72)/2</f>
        <v>39.6</v>
      </c>
      <c r="N72" s="12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0">
        <v>19694.0</v>
      </c>
      <c r="B73" s="3">
        <v>35.6</v>
      </c>
      <c r="C73" s="3">
        <v>37.5</v>
      </c>
      <c r="D73" s="3">
        <v>41.3</v>
      </c>
      <c r="E73" s="3">
        <v>36.6</v>
      </c>
      <c r="F73" s="3">
        <v>21.8</v>
      </c>
      <c r="G73" s="3">
        <v>35.5</v>
      </c>
      <c r="H73" s="11"/>
      <c r="I73" s="3">
        <v>47.7</v>
      </c>
      <c r="J73" s="11"/>
      <c r="K73" s="11"/>
      <c r="L73" s="11"/>
      <c r="M73" s="12">
        <f>(PMI!$D73+PMI!$E73)/2</f>
        <v>38.95</v>
      </c>
      <c r="N73" s="12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0">
        <v>19725.0</v>
      </c>
      <c r="B74" s="3">
        <v>37.4</v>
      </c>
      <c r="C74" s="3">
        <v>42.9</v>
      </c>
      <c r="D74" s="3">
        <v>45.0</v>
      </c>
      <c r="E74" s="3">
        <v>31.5</v>
      </c>
      <c r="F74" s="3">
        <v>23.6</v>
      </c>
      <c r="G74" s="3">
        <v>34.2</v>
      </c>
      <c r="H74" s="11"/>
      <c r="I74" s="3">
        <v>40.5</v>
      </c>
      <c r="J74" s="11"/>
      <c r="K74" s="11"/>
      <c r="L74" s="11"/>
      <c r="M74" s="12">
        <f>(PMI!$D74+PMI!$E74)/2</f>
        <v>38.25</v>
      </c>
      <c r="N74" s="12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0">
        <v>19756.0</v>
      </c>
      <c r="B75" s="3">
        <v>40.7</v>
      </c>
      <c r="C75" s="3">
        <v>50.3</v>
      </c>
      <c r="D75" s="3">
        <v>46.0</v>
      </c>
      <c r="E75" s="3">
        <v>34.8</v>
      </c>
      <c r="F75" s="3">
        <v>26.9</v>
      </c>
      <c r="G75" s="3">
        <v>34.2</v>
      </c>
      <c r="H75" s="11"/>
      <c r="I75" s="3">
        <v>41.6</v>
      </c>
      <c r="J75" s="11"/>
      <c r="K75" s="11"/>
      <c r="L75" s="11"/>
      <c r="M75" s="12">
        <f>(PMI!$D75+PMI!$E75)/2</f>
        <v>40.4</v>
      </c>
      <c r="N75" s="12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0">
        <v>19784.0</v>
      </c>
      <c r="B76" s="3">
        <v>44.7</v>
      </c>
      <c r="C76" s="3">
        <v>54.7</v>
      </c>
      <c r="D76" s="3">
        <v>51.5</v>
      </c>
      <c r="E76" s="3">
        <v>40.2</v>
      </c>
      <c r="F76" s="3">
        <v>28.0</v>
      </c>
      <c r="G76" s="3">
        <v>30.9</v>
      </c>
      <c r="H76" s="11"/>
      <c r="I76" s="3">
        <v>46.6</v>
      </c>
      <c r="J76" s="11"/>
      <c r="K76" s="11"/>
      <c r="L76" s="11"/>
      <c r="M76" s="12">
        <f>(PMI!$D76+PMI!$E76)/2</f>
        <v>45.85</v>
      </c>
      <c r="N76" s="12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0">
        <v>19815.0</v>
      </c>
      <c r="B77" s="3">
        <v>47.7</v>
      </c>
      <c r="C77" s="3">
        <v>58.4</v>
      </c>
      <c r="D77" s="3">
        <v>55.4</v>
      </c>
      <c r="E77" s="3">
        <v>42.4</v>
      </c>
      <c r="F77" s="3">
        <v>30.3</v>
      </c>
      <c r="G77" s="3">
        <v>31.6</v>
      </c>
      <c r="H77" s="11"/>
      <c r="I77" s="3">
        <v>49.7</v>
      </c>
      <c r="J77" s="11"/>
      <c r="K77" s="11"/>
      <c r="L77" s="11"/>
      <c r="M77" s="12">
        <f>(PMI!$D77+PMI!$E77)/2</f>
        <v>48.9</v>
      </c>
      <c r="N77" s="12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0">
        <v>19845.0</v>
      </c>
      <c r="B78" s="3">
        <v>50.1</v>
      </c>
      <c r="C78" s="3">
        <v>60.2</v>
      </c>
      <c r="D78" s="3">
        <v>56.3</v>
      </c>
      <c r="E78" s="3">
        <v>44.5</v>
      </c>
      <c r="F78" s="3">
        <v>34.3</v>
      </c>
      <c r="G78" s="3">
        <v>33.2</v>
      </c>
      <c r="H78" s="11"/>
      <c r="I78" s="3">
        <v>45.6</v>
      </c>
      <c r="J78" s="11"/>
      <c r="K78" s="11"/>
      <c r="L78" s="11"/>
      <c r="M78" s="12">
        <f>(PMI!$D78+PMI!$E78)/2</f>
        <v>50.4</v>
      </c>
      <c r="N78" s="12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0">
        <v>19876.0</v>
      </c>
      <c r="B79" s="3">
        <v>52.1</v>
      </c>
      <c r="C79" s="3">
        <v>64.6</v>
      </c>
      <c r="D79" s="3">
        <v>59.4</v>
      </c>
      <c r="E79" s="3">
        <v>45.2</v>
      </c>
      <c r="F79" s="3">
        <v>35.8</v>
      </c>
      <c r="G79" s="3">
        <v>39.1</v>
      </c>
      <c r="H79" s="11"/>
      <c r="I79" s="3">
        <v>52.5</v>
      </c>
      <c r="J79" s="11"/>
      <c r="K79" s="11"/>
      <c r="L79" s="11"/>
      <c r="M79" s="12">
        <f>(PMI!$D79+PMI!$E79)/2</f>
        <v>52.3</v>
      </c>
      <c r="N79" s="12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0">
        <v>19906.0</v>
      </c>
      <c r="B80" s="3">
        <v>51.7</v>
      </c>
      <c r="C80" s="3">
        <v>63.8</v>
      </c>
      <c r="D80" s="3">
        <v>57.4</v>
      </c>
      <c r="E80" s="3">
        <v>44.4</v>
      </c>
      <c r="F80" s="3">
        <v>38.1</v>
      </c>
      <c r="G80" s="3">
        <v>34.4</v>
      </c>
      <c r="H80" s="11"/>
      <c r="I80" s="3">
        <v>53.8</v>
      </c>
      <c r="J80" s="11"/>
      <c r="K80" s="11"/>
      <c r="L80" s="11"/>
      <c r="M80" s="12">
        <f>(PMI!$D80+PMI!$E80)/2</f>
        <v>50.9</v>
      </c>
      <c r="N80" s="12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0">
        <v>19937.0</v>
      </c>
      <c r="B81" s="3">
        <v>54.4</v>
      </c>
      <c r="C81" s="3">
        <v>56.6</v>
      </c>
      <c r="D81" s="3">
        <v>56.2</v>
      </c>
      <c r="E81" s="3">
        <v>37.7</v>
      </c>
      <c r="F81" s="3">
        <v>36.4</v>
      </c>
      <c r="G81" s="3">
        <v>35.7</v>
      </c>
      <c r="H81" s="11"/>
      <c r="I81" s="3">
        <v>41.7</v>
      </c>
      <c r="J81" s="11"/>
      <c r="K81" s="11"/>
      <c r="L81" s="11"/>
      <c r="M81" s="12">
        <f>(PMI!$D81+PMI!$E81)/2</f>
        <v>46.95</v>
      </c>
      <c r="N81" s="12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0">
        <v>19968.0</v>
      </c>
      <c r="B82" s="3">
        <v>53.5</v>
      </c>
      <c r="C82" s="3">
        <v>62.2</v>
      </c>
      <c r="D82" s="3">
        <v>57.0</v>
      </c>
      <c r="E82" s="3">
        <v>49.7</v>
      </c>
      <c r="F82" s="3">
        <v>43.6</v>
      </c>
      <c r="G82" s="3">
        <v>40.8</v>
      </c>
      <c r="H82" s="11"/>
      <c r="I82" s="3">
        <v>53.0</v>
      </c>
      <c r="J82" s="11"/>
      <c r="K82" s="11"/>
      <c r="L82" s="11"/>
      <c r="M82" s="12">
        <f>(PMI!$D82+PMI!$E82)/2</f>
        <v>53.35</v>
      </c>
      <c r="N82" s="12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0">
        <v>19998.0</v>
      </c>
      <c r="B83" s="3">
        <v>58.2</v>
      </c>
      <c r="C83" s="3">
        <v>66.7</v>
      </c>
      <c r="D83" s="3">
        <v>62.4</v>
      </c>
      <c r="E83" s="3">
        <v>55.8</v>
      </c>
      <c r="F83" s="3">
        <v>49.5</v>
      </c>
      <c r="G83" s="3">
        <v>40.5</v>
      </c>
      <c r="H83" s="11"/>
      <c r="I83" s="3">
        <v>57.6</v>
      </c>
      <c r="J83" s="11"/>
      <c r="K83" s="11"/>
      <c r="L83" s="11"/>
      <c r="M83" s="12">
        <f>(PMI!$D83+PMI!$E83)/2</f>
        <v>59.1</v>
      </c>
      <c r="N83" s="12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0">
        <v>20029.0</v>
      </c>
      <c r="B84" s="3">
        <v>58.8</v>
      </c>
      <c r="C84" s="3">
        <v>66.0</v>
      </c>
      <c r="D84" s="3">
        <v>63.0</v>
      </c>
      <c r="E84" s="3">
        <v>55.1</v>
      </c>
      <c r="F84" s="3">
        <v>51.9</v>
      </c>
      <c r="G84" s="3">
        <v>44.7</v>
      </c>
      <c r="H84" s="11"/>
      <c r="I84" s="3">
        <v>57.8</v>
      </c>
      <c r="J84" s="11"/>
      <c r="K84" s="11"/>
      <c r="L84" s="11"/>
      <c r="M84" s="12">
        <f>(PMI!$D84+PMI!$E84)/2</f>
        <v>59.05</v>
      </c>
      <c r="N84" s="12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0">
        <v>20059.0</v>
      </c>
      <c r="B85" s="3">
        <v>63.8</v>
      </c>
      <c r="C85" s="3">
        <v>73.6</v>
      </c>
      <c r="D85" s="3">
        <v>70.5</v>
      </c>
      <c r="E85" s="3">
        <v>55.8</v>
      </c>
      <c r="F85" s="3">
        <v>54.5</v>
      </c>
      <c r="G85" s="3">
        <v>47.1</v>
      </c>
      <c r="H85" s="11"/>
      <c r="I85" s="3">
        <v>59.1</v>
      </c>
      <c r="J85" s="11"/>
      <c r="K85" s="11"/>
      <c r="L85" s="11"/>
      <c r="M85" s="12">
        <f>(PMI!$D85+PMI!$E85)/2</f>
        <v>63.15</v>
      </c>
      <c r="N85" s="12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0">
        <v>20090.0</v>
      </c>
      <c r="B86" s="3">
        <v>63.0</v>
      </c>
      <c r="C86" s="3">
        <v>66.8</v>
      </c>
      <c r="D86" s="3">
        <v>69.1</v>
      </c>
      <c r="E86" s="3">
        <v>59.0</v>
      </c>
      <c r="F86" s="3">
        <v>60.6</v>
      </c>
      <c r="G86" s="3">
        <v>48.0</v>
      </c>
      <c r="H86" s="11"/>
      <c r="I86" s="3">
        <v>66.7</v>
      </c>
      <c r="J86" s="11"/>
      <c r="K86" s="11"/>
      <c r="L86" s="11"/>
      <c r="M86" s="12">
        <f>(PMI!$D86+PMI!$E86)/2</f>
        <v>64.05</v>
      </c>
      <c r="N86" s="12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0">
        <v>20121.0</v>
      </c>
      <c r="B87" s="3">
        <v>67.8</v>
      </c>
      <c r="C87" s="3">
        <v>73.9</v>
      </c>
      <c r="D87" s="3">
        <v>70.9</v>
      </c>
      <c r="E87" s="3">
        <v>63.4</v>
      </c>
      <c r="F87" s="3">
        <v>67.2</v>
      </c>
      <c r="G87" s="3">
        <v>51.3</v>
      </c>
      <c r="H87" s="11"/>
      <c r="I87" s="3">
        <v>82.0</v>
      </c>
      <c r="J87" s="11"/>
      <c r="K87" s="11"/>
      <c r="L87" s="11"/>
      <c r="M87" s="12">
        <f>(PMI!$D87+PMI!$E87)/2</f>
        <v>67.15</v>
      </c>
      <c r="N87" s="12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0">
        <v>20149.0</v>
      </c>
      <c r="B88" s="3">
        <v>67.5</v>
      </c>
      <c r="C88" s="3">
        <v>71.5</v>
      </c>
      <c r="D88" s="3">
        <v>71.0</v>
      </c>
      <c r="E88" s="3">
        <v>63.0</v>
      </c>
      <c r="F88" s="3">
        <v>68.5</v>
      </c>
      <c r="G88" s="3">
        <v>54.4</v>
      </c>
      <c r="H88" s="11"/>
      <c r="I88" s="3">
        <v>69.8</v>
      </c>
      <c r="J88" s="11"/>
      <c r="K88" s="11"/>
      <c r="L88" s="11"/>
      <c r="M88" s="12">
        <f>(PMI!$D88+PMI!$E88)/2</f>
        <v>67</v>
      </c>
      <c r="N88" s="12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0">
        <v>20180.0</v>
      </c>
      <c r="B89" s="3">
        <v>68.7</v>
      </c>
      <c r="C89" s="3">
        <v>70.9</v>
      </c>
      <c r="D89" s="3">
        <v>73.8</v>
      </c>
      <c r="E89" s="3">
        <v>63.9</v>
      </c>
      <c r="F89" s="3">
        <v>71.9</v>
      </c>
      <c r="G89" s="3">
        <v>54.2</v>
      </c>
      <c r="H89" s="11"/>
      <c r="I89" s="3">
        <v>75.2</v>
      </c>
      <c r="J89" s="11"/>
      <c r="K89" s="11"/>
      <c r="L89" s="11"/>
      <c r="M89" s="12">
        <f>(PMI!$D89+PMI!$E89)/2</f>
        <v>68.85</v>
      </c>
      <c r="N89" s="12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0">
        <v>20210.0</v>
      </c>
      <c r="B90" s="3">
        <v>69.5</v>
      </c>
      <c r="C90" s="3">
        <v>72.9</v>
      </c>
      <c r="D90" s="3">
        <v>73.5</v>
      </c>
      <c r="E90" s="3">
        <v>66.2</v>
      </c>
      <c r="F90" s="3">
        <v>68.7</v>
      </c>
      <c r="G90" s="3">
        <v>56.6</v>
      </c>
      <c r="H90" s="11"/>
      <c r="I90" s="3">
        <v>81.0</v>
      </c>
      <c r="J90" s="11"/>
      <c r="K90" s="11"/>
      <c r="L90" s="11"/>
      <c r="M90" s="12">
        <f>(PMI!$D90+PMI!$E90)/2</f>
        <v>69.85</v>
      </c>
      <c r="N90" s="12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0">
        <v>20241.0</v>
      </c>
      <c r="B91" s="3">
        <v>63.3</v>
      </c>
      <c r="C91" s="3">
        <v>60.9</v>
      </c>
      <c r="D91" s="3">
        <v>65.5</v>
      </c>
      <c r="E91" s="3">
        <v>61.2</v>
      </c>
      <c r="F91" s="3">
        <v>65.7</v>
      </c>
      <c r="G91" s="3">
        <v>65.2</v>
      </c>
      <c r="H91" s="11"/>
      <c r="I91" s="3">
        <v>75.9</v>
      </c>
      <c r="J91" s="11"/>
      <c r="K91" s="11"/>
      <c r="L91" s="11"/>
      <c r="M91" s="12">
        <f>(PMI!$D91+PMI!$E91)/2</f>
        <v>63.35</v>
      </c>
      <c r="N91" s="12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0">
        <v>20271.0</v>
      </c>
      <c r="B92" s="3">
        <v>66.2</v>
      </c>
      <c r="C92" s="3">
        <v>67.1</v>
      </c>
      <c r="D92" s="3">
        <v>72.1</v>
      </c>
      <c r="E92" s="3">
        <v>60.9</v>
      </c>
      <c r="F92" s="3">
        <v>67.0</v>
      </c>
      <c r="G92" s="3">
        <v>58.4</v>
      </c>
      <c r="H92" s="11"/>
      <c r="I92" s="3">
        <v>80.4</v>
      </c>
      <c r="J92" s="11"/>
      <c r="K92" s="11"/>
      <c r="L92" s="11"/>
      <c r="M92" s="12">
        <f>(PMI!$D92+PMI!$E92)/2</f>
        <v>66.5</v>
      </c>
      <c r="N92" s="12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0">
        <v>20302.0</v>
      </c>
      <c r="B93" s="3">
        <v>64.8</v>
      </c>
      <c r="C93" s="3">
        <v>70.4</v>
      </c>
      <c r="D93" s="3">
        <v>67.1</v>
      </c>
      <c r="E93" s="3">
        <v>59.2</v>
      </c>
      <c r="F93" s="3">
        <v>64.3</v>
      </c>
      <c r="G93" s="3">
        <v>54.2</v>
      </c>
      <c r="H93" s="11"/>
      <c r="I93" s="3">
        <v>79.5</v>
      </c>
      <c r="J93" s="11"/>
      <c r="K93" s="11"/>
      <c r="L93" s="11"/>
      <c r="M93" s="12">
        <f>(PMI!$D93+PMI!$E93)/2</f>
        <v>63.15</v>
      </c>
      <c r="N93" s="12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0">
        <v>20333.0</v>
      </c>
      <c r="B94" s="3">
        <v>62.4</v>
      </c>
      <c r="C94" s="3">
        <v>63.7</v>
      </c>
      <c r="D94" s="3">
        <v>64.3</v>
      </c>
      <c r="E94" s="3">
        <v>59.7</v>
      </c>
      <c r="F94" s="3">
        <v>66.3</v>
      </c>
      <c r="G94" s="3">
        <v>53.5</v>
      </c>
      <c r="H94" s="11"/>
      <c r="I94" s="3">
        <v>82.2</v>
      </c>
      <c r="J94" s="11"/>
      <c r="K94" s="11"/>
      <c r="L94" s="11"/>
      <c r="M94" s="12">
        <f>(PMI!$D94+PMI!$E94)/2</f>
        <v>62</v>
      </c>
      <c r="N94" s="12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0">
        <v>20363.0</v>
      </c>
      <c r="B95" s="3">
        <v>63.7</v>
      </c>
      <c r="C95" s="3">
        <v>66.3</v>
      </c>
      <c r="D95" s="3">
        <v>65.1</v>
      </c>
      <c r="E95" s="3">
        <v>60.9</v>
      </c>
      <c r="F95" s="3">
        <v>66.5</v>
      </c>
      <c r="G95" s="3">
        <v>53.5</v>
      </c>
      <c r="H95" s="11"/>
      <c r="I95" s="3">
        <v>80.5</v>
      </c>
      <c r="J95" s="11"/>
      <c r="K95" s="11"/>
      <c r="L95" s="11"/>
      <c r="M95" s="12">
        <f>(PMI!$D95+PMI!$E95)/2</f>
        <v>63</v>
      </c>
      <c r="N95" s="12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0">
        <v>20394.0</v>
      </c>
      <c r="B96" s="3">
        <v>62.0</v>
      </c>
      <c r="C96" s="3">
        <v>61.5</v>
      </c>
      <c r="D96" s="3">
        <v>63.9</v>
      </c>
      <c r="E96" s="3">
        <v>61.3</v>
      </c>
      <c r="F96" s="3">
        <v>64.9</v>
      </c>
      <c r="G96" s="3">
        <v>55.5</v>
      </c>
      <c r="H96" s="11"/>
      <c r="I96" s="3">
        <v>77.3</v>
      </c>
      <c r="J96" s="11"/>
      <c r="K96" s="11"/>
      <c r="L96" s="11"/>
      <c r="M96" s="12">
        <f>(PMI!$D96+PMI!$E96)/2</f>
        <v>62.6</v>
      </c>
      <c r="N96" s="12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0">
        <v>20424.0</v>
      </c>
      <c r="B97" s="3">
        <v>65.6</v>
      </c>
      <c r="C97" s="3">
        <v>66.6</v>
      </c>
      <c r="D97" s="3">
        <v>72.4</v>
      </c>
      <c r="E97" s="3">
        <v>63.9</v>
      </c>
      <c r="F97" s="3">
        <v>61.4</v>
      </c>
      <c r="G97" s="3">
        <v>55.4</v>
      </c>
      <c r="H97" s="11"/>
      <c r="I97" s="3">
        <v>80.0</v>
      </c>
      <c r="J97" s="11"/>
      <c r="K97" s="11"/>
      <c r="L97" s="11"/>
      <c r="M97" s="12">
        <f>(PMI!$D97+PMI!$E97)/2</f>
        <v>68.15</v>
      </c>
      <c r="N97" s="12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0">
        <v>20455.0</v>
      </c>
      <c r="B98" s="3">
        <v>60.2</v>
      </c>
      <c r="C98" s="3">
        <v>61.8</v>
      </c>
      <c r="D98" s="3">
        <v>64.0</v>
      </c>
      <c r="E98" s="3">
        <v>62.3</v>
      </c>
      <c r="F98" s="3">
        <v>53.5</v>
      </c>
      <c r="G98" s="3">
        <v>52.2</v>
      </c>
      <c r="H98" s="11"/>
      <c r="I98" s="3">
        <v>82.7</v>
      </c>
      <c r="J98" s="11"/>
      <c r="K98" s="11"/>
      <c r="L98" s="11"/>
      <c r="M98" s="12">
        <f>(PMI!$D98+PMI!$E98)/2</f>
        <v>63.15</v>
      </c>
      <c r="N98" s="12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0">
        <v>20486.0</v>
      </c>
      <c r="B99" s="3">
        <v>58.2</v>
      </c>
      <c r="C99" s="3">
        <v>56.2</v>
      </c>
      <c r="D99" s="3">
        <v>63.5</v>
      </c>
      <c r="E99" s="3">
        <v>61.0</v>
      </c>
      <c r="F99" s="3">
        <v>51.3</v>
      </c>
      <c r="G99" s="3">
        <v>56.1</v>
      </c>
      <c r="H99" s="11"/>
      <c r="I99" s="3">
        <v>83.5</v>
      </c>
      <c r="J99" s="11"/>
      <c r="K99" s="11"/>
      <c r="L99" s="11"/>
      <c r="M99" s="12">
        <f>(PMI!$D99+PMI!$E99)/2</f>
        <v>62.25</v>
      </c>
      <c r="N99" s="12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0">
        <v>20515.0</v>
      </c>
      <c r="B100" s="3">
        <v>57.2</v>
      </c>
      <c r="C100" s="3">
        <v>57.3</v>
      </c>
      <c r="D100" s="3">
        <v>61.0</v>
      </c>
      <c r="E100" s="3">
        <v>56.9</v>
      </c>
      <c r="F100" s="3">
        <v>51.0</v>
      </c>
      <c r="G100" s="3">
        <v>57.2</v>
      </c>
      <c r="H100" s="11"/>
      <c r="I100" s="3">
        <v>87.7</v>
      </c>
      <c r="J100" s="11"/>
      <c r="K100" s="11"/>
      <c r="L100" s="11"/>
      <c r="M100" s="12">
        <f>(PMI!$D100+PMI!$E100)/2</f>
        <v>58.95</v>
      </c>
      <c r="N100" s="12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0">
        <v>20546.0</v>
      </c>
      <c r="B101" s="3">
        <v>55.9</v>
      </c>
      <c r="C101" s="3">
        <v>55.9</v>
      </c>
      <c r="D101" s="3">
        <v>58.9</v>
      </c>
      <c r="E101" s="3">
        <v>54.8</v>
      </c>
      <c r="F101" s="3">
        <v>51.0</v>
      </c>
      <c r="G101" s="3">
        <v>57.5</v>
      </c>
      <c r="H101" s="11"/>
      <c r="I101" s="3">
        <v>87.5</v>
      </c>
      <c r="J101" s="11"/>
      <c r="K101" s="11"/>
      <c r="L101" s="11"/>
      <c r="M101" s="12">
        <f>(PMI!$D101+PMI!$E101)/2</f>
        <v>56.85</v>
      </c>
      <c r="N101" s="12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0">
        <v>20576.0</v>
      </c>
      <c r="B102" s="3">
        <v>51.2</v>
      </c>
      <c r="C102" s="3">
        <v>53.0</v>
      </c>
      <c r="D102" s="3">
        <v>52.8</v>
      </c>
      <c r="E102" s="3">
        <v>51.4</v>
      </c>
      <c r="F102" s="3">
        <v>38.6</v>
      </c>
      <c r="G102" s="3">
        <v>60.3</v>
      </c>
      <c r="H102" s="11"/>
      <c r="I102" s="3">
        <v>81.7</v>
      </c>
      <c r="J102" s="11"/>
      <c r="K102" s="11"/>
      <c r="L102" s="11"/>
      <c r="M102" s="12">
        <f>(PMI!$D102+PMI!$E102)/2</f>
        <v>52.1</v>
      </c>
      <c r="N102" s="12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0">
        <v>20607.0</v>
      </c>
      <c r="B103" s="3">
        <v>47.7</v>
      </c>
      <c r="C103" s="3">
        <v>48.9</v>
      </c>
      <c r="D103" s="3">
        <v>49.2</v>
      </c>
      <c r="E103" s="3">
        <v>43.9</v>
      </c>
      <c r="F103" s="3">
        <v>41.0</v>
      </c>
      <c r="G103" s="3">
        <v>58.4</v>
      </c>
      <c r="H103" s="11"/>
      <c r="I103" s="3">
        <v>65.7</v>
      </c>
      <c r="J103" s="11"/>
      <c r="K103" s="11"/>
      <c r="L103" s="11"/>
      <c r="M103" s="12">
        <f>(PMI!$D103+PMI!$E103)/2</f>
        <v>46.55</v>
      </c>
      <c r="N103" s="12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0">
        <v>20637.0</v>
      </c>
      <c r="B104" s="3">
        <v>44.2</v>
      </c>
      <c r="C104" s="3">
        <v>44.4</v>
      </c>
      <c r="D104" s="3">
        <v>38.0</v>
      </c>
      <c r="E104" s="3">
        <v>40.8</v>
      </c>
      <c r="F104" s="3">
        <v>53.9</v>
      </c>
      <c r="G104" s="3">
        <v>51.5</v>
      </c>
      <c r="H104" s="11"/>
      <c r="I104" s="3">
        <v>74.7</v>
      </c>
      <c r="J104" s="11"/>
      <c r="K104" s="11"/>
      <c r="L104" s="11"/>
      <c r="M104" s="12">
        <f>(PMI!$D104+PMI!$E104)/2</f>
        <v>39.4</v>
      </c>
      <c r="N104" s="12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0">
        <v>20668.0</v>
      </c>
      <c r="B105" s="3">
        <v>51.5</v>
      </c>
      <c r="C105" s="3">
        <v>54.3</v>
      </c>
      <c r="D105" s="3">
        <v>51.5</v>
      </c>
      <c r="E105" s="3">
        <v>50.3</v>
      </c>
      <c r="F105" s="3">
        <v>46.8</v>
      </c>
      <c r="G105" s="3">
        <v>52.1</v>
      </c>
      <c r="H105" s="11"/>
      <c r="I105" s="3">
        <v>76.3</v>
      </c>
      <c r="J105" s="11"/>
      <c r="K105" s="11"/>
      <c r="L105" s="11"/>
      <c r="M105" s="12">
        <f>(PMI!$D105+PMI!$E105)/2</f>
        <v>50.9</v>
      </c>
      <c r="N105" s="12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0">
        <v>20699.0</v>
      </c>
      <c r="B106" s="3">
        <v>55.5</v>
      </c>
      <c r="C106" s="3">
        <v>60.5</v>
      </c>
      <c r="D106" s="3">
        <v>60.2</v>
      </c>
      <c r="E106" s="3">
        <v>52.9</v>
      </c>
      <c r="F106" s="3">
        <v>42.8</v>
      </c>
      <c r="G106" s="3">
        <v>53.1</v>
      </c>
      <c r="H106" s="11"/>
      <c r="I106" s="3">
        <v>79.5</v>
      </c>
      <c r="J106" s="11"/>
      <c r="K106" s="11"/>
      <c r="L106" s="11"/>
      <c r="M106" s="12">
        <f>(PMI!$D106+PMI!$E106)/2</f>
        <v>56.55</v>
      </c>
      <c r="N106" s="12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0">
        <v>20729.0</v>
      </c>
      <c r="B107" s="3">
        <v>52.7</v>
      </c>
      <c r="C107" s="3">
        <v>55.6</v>
      </c>
      <c r="D107" s="3">
        <v>56.7</v>
      </c>
      <c r="E107" s="3">
        <v>52.2</v>
      </c>
      <c r="F107" s="3">
        <v>40.1</v>
      </c>
      <c r="G107" s="3">
        <v>53.6</v>
      </c>
      <c r="H107" s="11"/>
      <c r="I107" s="3">
        <v>78.1</v>
      </c>
      <c r="J107" s="11"/>
      <c r="K107" s="11"/>
      <c r="L107" s="11"/>
      <c r="M107" s="12">
        <f>(PMI!$D107+PMI!$E107)/2</f>
        <v>54.45</v>
      </c>
      <c r="N107" s="12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0">
        <v>20760.0</v>
      </c>
      <c r="B108" s="3">
        <v>55.0</v>
      </c>
      <c r="C108" s="3">
        <v>57.0</v>
      </c>
      <c r="D108" s="3">
        <v>62.3</v>
      </c>
      <c r="E108" s="3">
        <v>56.0</v>
      </c>
      <c r="F108" s="3">
        <v>44.6</v>
      </c>
      <c r="G108" s="3">
        <v>44.6</v>
      </c>
      <c r="H108" s="11"/>
      <c r="I108" s="3">
        <v>80.1</v>
      </c>
      <c r="J108" s="11"/>
      <c r="K108" s="11"/>
      <c r="L108" s="11"/>
      <c r="M108" s="12">
        <f>(PMI!$D108+PMI!$E108)/2</f>
        <v>59.15</v>
      </c>
      <c r="N108" s="12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0">
        <v>20790.0</v>
      </c>
      <c r="B109" s="3">
        <v>52.7</v>
      </c>
      <c r="C109" s="3">
        <v>52.8</v>
      </c>
      <c r="D109" s="3">
        <v>57.7</v>
      </c>
      <c r="E109" s="3">
        <v>55.4</v>
      </c>
      <c r="F109" s="3">
        <v>39.5</v>
      </c>
      <c r="G109" s="3">
        <v>54.3</v>
      </c>
      <c r="H109" s="11"/>
      <c r="I109" s="3">
        <v>78.9</v>
      </c>
      <c r="J109" s="11"/>
      <c r="K109" s="11"/>
      <c r="L109" s="11"/>
      <c r="M109" s="12">
        <f>(PMI!$D109+PMI!$E109)/2</f>
        <v>56.55</v>
      </c>
      <c r="N109" s="12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0">
        <v>20821.0</v>
      </c>
      <c r="B110" s="3">
        <v>53.6</v>
      </c>
      <c r="C110" s="3">
        <v>57.6</v>
      </c>
      <c r="D110" s="3">
        <v>56.6</v>
      </c>
      <c r="E110" s="3">
        <v>56.6</v>
      </c>
      <c r="F110" s="3">
        <v>36.3</v>
      </c>
      <c r="G110" s="3">
        <v>53.9</v>
      </c>
      <c r="H110" s="11"/>
      <c r="I110" s="3">
        <v>87.1</v>
      </c>
      <c r="J110" s="11"/>
      <c r="K110" s="11"/>
      <c r="L110" s="11"/>
      <c r="M110" s="12">
        <f>(PMI!$D110+PMI!$E110)/2</f>
        <v>56.6</v>
      </c>
      <c r="N110" s="12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0">
        <v>20852.0</v>
      </c>
      <c r="B111" s="3">
        <v>51.0</v>
      </c>
      <c r="C111" s="3">
        <v>52.5</v>
      </c>
      <c r="D111" s="3">
        <v>57.9</v>
      </c>
      <c r="E111" s="3">
        <v>53.8</v>
      </c>
      <c r="F111" s="3">
        <v>31.2</v>
      </c>
      <c r="G111" s="3">
        <v>53.1</v>
      </c>
      <c r="H111" s="11"/>
      <c r="I111" s="3">
        <v>76.9</v>
      </c>
      <c r="J111" s="11"/>
      <c r="K111" s="11"/>
      <c r="L111" s="11"/>
      <c r="M111" s="12">
        <f>(PMI!$D111+PMI!$E111)/2</f>
        <v>55.85</v>
      </c>
      <c r="N111" s="12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0">
        <v>20880.0</v>
      </c>
      <c r="B112" s="3">
        <v>47.5</v>
      </c>
      <c r="C112" s="3">
        <v>51.1</v>
      </c>
      <c r="D112" s="3">
        <v>52.1</v>
      </c>
      <c r="E112" s="3">
        <v>52.5</v>
      </c>
      <c r="F112" s="3">
        <v>26.3</v>
      </c>
      <c r="G112" s="3">
        <v>46.6</v>
      </c>
      <c r="H112" s="11"/>
      <c r="I112" s="3">
        <v>65.3</v>
      </c>
      <c r="J112" s="11"/>
      <c r="K112" s="11"/>
      <c r="L112" s="11"/>
      <c r="M112" s="12">
        <f>(PMI!$D112+PMI!$E112)/2</f>
        <v>52.3</v>
      </c>
      <c r="N112" s="12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0">
        <v>20911.0</v>
      </c>
      <c r="B113" s="3">
        <v>43.1</v>
      </c>
      <c r="C113" s="3">
        <v>49.2</v>
      </c>
      <c r="D113" s="3">
        <v>47.9</v>
      </c>
      <c r="E113" s="3">
        <v>40.3</v>
      </c>
      <c r="F113" s="3">
        <v>28.9</v>
      </c>
      <c r="G113" s="3">
        <v>39.9</v>
      </c>
      <c r="H113" s="11"/>
      <c r="I113" s="3">
        <v>59.2</v>
      </c>
      <c r="J113" s="11"/>
      <c r="K113" s="11"/>
      <c r="L113" s="11"/>
      <c r="M113" s="12">
        <f>(PMI!$D113+PMI!$E113)/2</f>
        <v>44.1</v>
      </c>
      <c r="N113" s="12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0">
        <v>20941.0</v>
      </c>
      <c r="B114" s="3">
        <v>43.4</v>
      </c>
      <c r="C114" s="3">
        <v>46.1</v>
      </c>
      <c r="D114" s="3">
        <v>49.9</v>
      </c>
      <c r="E114" s="3">
        <v>41.9</v>
      </c>
      <c r="F114" s="3">
        <v>30.0</v>
      </c>
      <c r="G114" s="3">
        <v>41.8</v>
      </c>
      <c r="H114" s="11"/>
      <c r="I114" s="3">
        <v>57.4</v>
      </c>
      <c r="J114" s="11"/>
      <c r="K114" s="11"/>
      <c r="L114" s="11"/>
      <c r="M114" s="12">
        <f>(PMI!$D114+PMI!$E114)/2</f>
        <v>45.9</v>
      </c>
      <c r="N114" s="12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0">
        <v>20972.0</v>
      </c>
      <c r="B115" s="3">
        <v>45.9</v>
      </c>
      <c r="C115" s="3">
        <v>49.8</v>
      </c>
      <c r="D115" s="3">
        <v>53.6</v>
      </c>
      <c r="E115" s="3">
        <v>45.1</v>
      </c>
      <c r="F115" s="3">
        <v>30.0</v>
      </c>
      <c r="G115" s="3">
        <v>40.7</v>
      </c>
      <c r="H115" s="11"/>
      <c r="I115" s="3">
        <v>62.9</v>
      </c>
      <c r="J115" s="11"/>
      <c r="K115" s="11"/>
      <c r="L115" s="11"/>
      <c r="M115" s="12">
        <f>(PMI!$D115+PMI!$E115)/2</f>
        <v>49.35</v>
      </c>
      <c r="N115" s="12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0">
        <v>21002.0</v>
      </c>
      <c r="B116" s="3">
        <v>45.7</v>
      </c>
      <c r="C116" s="3">
        <v>47.6</v>
      </c>
      <c r="D116" s="3">
        <v>49.2</v>
      </c>
      <c r="E116" s="3">
        <v>45.5</v>
      </c>
      <c r="F116" s="3">
        <v>36.8</v>
      </c>
      <c r="G116" s="3">
        <v>45.3</v>
      </c>
      <c r="H116" s="11"/>
      <c r="I116" s="3">
        <v>78.7</v>
      </c>
      <c r="J116" s="11"/>
      <c r="K116" s="11"/>
      <c r="L116" s="11"/>
      <c r="M116" s="12">
        <f>(PMI!$D116+PMI!$E116)/2</f>
        <v>47.35</v>
      </c>
      <c r="N116" s="12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0">
        <v>21033.0</v>
      </c>
      <c r="B117" s="3">
        <v>45.3</v>
      </c>
      <c r="C117" s="3">
        <v>48.8</v>
      </c>
      <c r="D117" s="3">
        <v>51.3</v>
      </c>
      <c r="E117" s="3">
        <v>43.1</v>
      </c>
      <c r="F117" s="3">
        <v>30.8</v>
      </c>
      <c r="G117" s="3">
        <v>46.0</v>
      </c>
      <c r="H117" s="11"/>
      <c r="I117" s="3">
        <v>65.7</v>
      </c>
      <c r="J117" s="11"/>
      <c r="K117" s="11"/>
      <c r="L117" s="11"/>
      <c r="M117" s="12">
        <f>(PMI!$D117+PMI!$E117)/2</f>
        <v>47.2</v>
      </c>
      <c r="N117" s="12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0">
        <v>21064.0</v>
      </c>
      <c r="B118" s="3">
        <v>45.8</v>
      </c>
      <c r="C118" s="3">
        <v>53.8</v>
      </c>
      <c r="D118" s="3">
        <v>50.6</v>
      </c>
      <c r="E118" s="3">
        <v>42.1</v>
      </c>
      <c r="F118" s="3">
        <v>28.8</v>
      </c>
      <c r="G118" s="3">
        <v>42.6</v>
      </c>
      <c r="H118" s="11"/>
      <c r="I118" s="3">
        <v>63.0</v>
      </c>
      <c r="J118" s="11"/>
      <c r="K118" s="11"/>
      <c r="L118" s="11"/>
      <c r="M118" s="12">
        <f>(PMI!$D118+PMI!$E118)/2</f>
        <v>46.35</v>
      </c>
      <c r="N118" s="12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0">
        <v>21094.0</v>
      </c>
      <c r="B119" s="3">
        <v>41.1</v>
      </c>
      <c r="C119" s="3">
        <v>46.4</v>
      </c>
      <c r="D119" s="3">
        <v>42.9</v>
      </c>
      <c r="E119" s="3">
        <v>36.6</v>
      </c>
      <c r="F119" s="3">
        <v>32.6</v>
      </c>
      <c r="G119" s="3">
        <v>42.7</v>
      </c>
      <c r="H119" s="11"/>
      <c r="I119" s="3">
        <v>60.5</v>
      </c>
      <c r="J119" s="11"/>
      <c r="K119" s="11"/>
      <c r="L119" s="11"/>
      <c r="M119" s="12">
        <f>(PMI!$D119+PMI!$E119)/2</f>
        <v>39.75</v>
      </c>
      <c r="N119" s="12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0">
        <v>21125.0</v>
      </c>
      <c r="B120" s="3">
        <v>40.4</v>
      </c>
      <c r="C120" s="3">
        <v>47.2</v>
      </c>
      <c r="D120" s="3">
        <v>44.4</v>
      </c>
      <c r="E120" s="3">
        <v>34.8</v>
      </c>
      <c r="F120" s="3">
        <v>27.8</v>
      </c>
      <c r="G120" s="3">
        <v>39.7</v>
      </c>
      <c r="H120" s="11"/>
      <c r="I120" s="3">
        <v>54.8</v>
      </c>
      <c r="J120" s="11"/>
      <c r="K120" s="11"/>
      <c r="L120" s="11"/>
      <c r="M120" s="12">
        <f>(PMI!$D120+PMI!$E120)/2</f>
        <v>39.6</v>
      </c>
      <c r="N120" s="12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0">
        <v>21155.0</v>
      </c>
      <c r="B121" s="3">
        <v>36.8</v>
      </c>
      <c r="C121" s="3">
        <v>42.8</v>
      </c>
      <c r="D121" s="3">
        <v>40.0</v>
      </c>
      <c r="E121" s="3">
        <v>30.4</v>
      </c>
      <c r="F121" s="3">
        <v>27.3</v>
      </c>
      <c r="G121" s="3">
        <v>38.0</v>
      </c>
      <c r="H121" s="11"/>
      <c r="I121" s="3">
        <v>55.5</v>
      </c>
      <c r="J121" s="11"/>
      <c r="K121" s="11"/>
      <c r="L121" s="11"/>
      <c r="M121" s="12">
        <f>(PMI!$D121+PMI!$E121)/2</f>
        <v>35.2</v>
      </c>
      <c r="N121" s="12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0">
        <v>21186.0</v>
      </c>
      <c r="B122" s="3">
        <v>33.4</v>
      </c>
      <c r="C122" s="3">
        <v>35.2</v>
      </c>
      <c r="D122" s="3">
        <v>34.9</v>
      </c>
      <c r="E122" s="3">
        <v>29.7</v>
      </c>
      <c r="F122" s="3">
        <v>30.3</v>
      </c>
      <c r="G122" s="3">
        <v>35.8</v>
      </c>
      <c r="H122" s="11"/>
      <c r="I122" s="3">
        <v>50.8</v>
      </c>
      <c r="J122" s="11"/>
      <c r="K122" s="11"/>
      <c r="L122" s="11"/>
      <c r="M122" s="12">
        <f>(PMI!$D122+PMI!$E122)/2</f>
        <v>32.3</v>
      </c>
      <c r="N122" s="12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0">
        <v>21217.0</v>
      </c>
      <c r="B123" s="3">
        <v>37.2</v>
      </c>
      <c r="C123" s="3">
        <v>47.3</v>
      </c>
      <c r="D123" s="3">
        <v>37.8</v>
      </c>
      <c r="E123" s="3">
        <v>27.9</v>
      </c>
      <c r="F123" s="3">
        <v>31.0</v>
      </c>
      <c r="G123" s="3">
        <v>33.1</v>
      </c>
      <c r="H123" s="11"/>
      <c r="I123" s="3">
        <v>46.5</v>
      </c>
      <c r="J123" s="11"/>
      <c r="K123" s="11"/>
      <c r="L123" s="11"/>
      <c r="M123" s="12">
        <f>(PMI!$D123+PMI!$E123)/2</f>
        <v>32.85</v>
      </c>
      <c r="N123" s="12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0">
        <v>21245.0</v>
      </c>
      <c r="B124" s="3">
        <v>39.8</v>
      </c>
      <c r="C124" s="3">
        <v>45.3</v>
      </c>
      <c r="D124" s="3">
        <v>45.1</v>
      </c>
      <c r="E124" s="3">
        <v>33.4</v>
      </c>
      <c r="F124" s="3">
        <v>34.0</v>
      </c>
      <c r="G124" s="3">
        <v>31.3</v>
      </c>
      <c r="H124" s="11"/>
      <c r="I124" s="3">
        <v>47.6</v>
      </c>
      <c r="J124" s="11"/>
      <c r="K124" s="11"/>
      <c r="L124" s="11"/>
      <c r="M124" s="12">
        <f>(PMI!$D124+PMI!$E124)/2</f>
        <v>39.25</v>
      </c>
      <c r="N124" s="12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0">
        <v>21276.0</v>
      </c>
      <c r="B125" s="3">
        <v>39.1</v>
      </c>
      <c r="C125" s="3">
        <v>47.2</v>
      </c>
      <c r="D125" s="3">
        <v>41.0</v>
      </c>
      <c r="E125" s="3">
        <v>31.5</v>
      </c>
      <c r="F125" s="3">
        <v>35.5</v>
      </c>
      <c r="G125" s="3">
        <v>30.8</v>
      </c>
      <c r="H125" s="11"/>
      <c r="I125" s="3">
        <v>42.5</v>
      </c>
      <c r="J125" s="11"/>
      <c r="K125" s="11"/>
      <c r="L125" s="11"/>
      <c r="M125" s="12">
        <f>(PMI!$D125+PMI!$E125)/2</f>
        <v>36.25</v>
      </c>
      <c r="N125" s="12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0">
        <v>21306.0</v>
      </c>
      <c r="B126" s="3">
        <v>46.6</v>
      </c>
      <c r="C126" s="3">
        <v>56.7</v>
      </c>
      <c r="D126" s="3">
        <v>52.6</v>
      </c>
      <c r="E126" s="3">
        <v>39.7</v>
      </c>
      <c r="F126" s="3">
        <v>38.5</v>
      </c>
      <c r="G126" s="3">
        <v>27.7</v>
      </c>
      <c r="H126" s="11"/>
      <c r="I126" s="3">
        <v>45.8</v>
      </c>
      <c r="J126" s="11"/>
      <c r="K126" s="11"/>
      <c r="L126" s="11"/>
      <c r="M126" s="12">
        <f>(PMI!$D126+PMI!$E126)/2</f>
        <v>46.15</v>
      </c>
      <c r="N126" s="12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0">
        <v>21337.0</v>
      </c>
      <c r="B127" s="3">
        <v>51.4</v>
      </c>
      <c r="C127" s="3">
        <v>60.8</v>
      </c>
      <c r="D127" s="3">
        <v>58.9</v>
      </c>
      <c r="E127" s="3">
        <v>46.7</v>
      </c>
      <c r="F127" s="3">
        <v>39.2</v>
      </c>
      <c r="G127" s="3">
        <v>32.2</v>
      </c>
      <c r="H127" s="11"/>
      <c r="I127" s="3">
        <v>49.6</v>
      </c>
      <c r="J127" s="11"/>
      <c r="K127" s="11"/>
      <c r="L127" s="11"/>
      <c r="M127" s="12">
        <f>(PMI!$D127+PMI!$E127)/2</f>
        <v>52.8</v>
      </c>
      <c r="N127" s="12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0">
        <v>21367.0</v>
      </c>
      <c r="B128" s="3">
        <v>54.7</v>
      </c>
      <c r="C128" s="3">
        <v>66.5</v>
      </c>
      <c r="D128" s="3">
        <v>61.2</v>
      </c>
      <c r="E128" s="3">
        <v>47.6</v>
      </c>
      <c r="F128" s="3">
        <v>43.0</v>
      </c>
      <c r="G128" s="3">
        <v>34.6</v>
      </c>
      <c r="H128" s="11"/>
      <c r="I128" s="3">
        <v>52.3</v>
      </c>
      <c r="J128" s="11"/>
      <c r="K128" s="11"/>
      <c r="L128" s="11"/>
      <c r="M128" s="12">
        <f>(PMI!$D128+PMI!$E128)/2</f>
        <v>54.4</v>
      </c>
      <c r="N128" s="12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0">
        <v>21398.0</v>
      </c>
      <c r="B129" s="3">
        <v>57.3</v>
      </c>
      <c r="C129" s="3">
        <v>65.2</v>
      </c>
      <c r="D129" s="3">
        <v>64.5</v>
      </c>
      <c r="E129" s="3">
        <v>52.1</v>
      </c>
      <c r="F129" s="3">
        <v>44.7</v>
      </c>
      <c r="G129" s="3">
        <v>44.8</v>
      </c>
      <c r="H129" s="11"/>
      <c r="I129" s="3">
        <v>65.2</v>
      </c>
      <c r="J129" s="11"/>
      <c r="K129" s="11"/>
      <c r="L129" s="11"/>
      <c r="M129" s="12">
        <f>(PMI!$D129+PMI!$E129)/2</f>
        <v>58.3</v>
      </c>
      <c r="N129" s="12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0">
        <v>21429.0</v>
      </c>
      <c r="B130" s="3">
        <v>59.8</v>
      </c>
      <c r="C130" s="3">
        <v>67.0</v>
      </c>
      <c r="D130" s="3">
        <v>66.8</v>
      </c>
      <c r="E130" s="3">
        <v>55.5</v>
      </c>
      <c r="F130" s="3">
        <v>51.1</v>
      </c>
      <c r="G130" s="3">
        <v>42.5</v>
      </c>
      <c r="H130" s="11"/>
      <c r="I130" s="3">
        <v>62.6</v>
      </c>
      <c r="J130" s="11"/>
      <c r="K130" s="11"/>
      <c r="L130" s="11"/>
      <c r="M130" s="12">
        <f>(PMI!$D130+PMI!$E130)/2</f>
        <v>61.15</v>
      </c>
      <c r="N130" s="12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0">
        <v>21459.0</v>
      </c>
      <c r="B131" s="3">
        <v>62.3</v>
      </c>
      <c r="C131" s="3">
        <v>67.9</v>
      </c>
      <c r="D131" s="3">
        <v>70.0</v>
      </c>
      <c r="E131" s="3">
        <v>59.6</v>
      </c>
      <c r="F131" s="3">
        <v>52.4</v>
      </c>
      <c r="G131" s="3">
        <v>46.4</v>
      </c>
      <c r="H131" s="11"/>
      <c r="I131" s="3">
        <v>73.3</v>
      </c>
      <c r="J131" s="11"/>
      <c r="K131" s="11"/>
      <c r="L131" s="11"/>
      <c r="M131" s="12">
        <f>(PMI!$D131+PMI!$E131)/2</f>
        <v>64.8</v>
      </c>
      <c r="N131" s="12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0">
        <v>21490.0</v>
      </c>
      <c r="B132" s="3">
        <v>62.7</v>
      </c>
      <c r="C132" s="3">
        <v>68.5</v>
      </c>
      <c r="D132" s="3">
        <v>68.3</v>
      </c>
      <c r="E132" s="3">
        <v>58.0</v>
      </c>
      <c r="F132" s="3">
        <v>55.8</v>
      </c>
      <c r="G132" s="3">
        <v>51.0</v>
      </c>
      <c r="H132" s="11"/>
      <c r="I132" s="3">
        <v>66.3</v>
      </c>
      <c r="J132" s="11"/>
      <c r="K132" s="11"/>
      <c r="L132" s="11"/>
      <c r="M132" s="12">
        <f>(PMI!$D132+PMI!$E132)/2</f>
        <v>63.15</v>
      </c>
      <c r="N132" s="12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0">
        <v>21520.0</v>
      </c>
      <c r="B133" s="3">
        <v>60.5</v>
      </c>
      <c r="C133" s="3">
        <v>64.7</v>
      </c>
      <c r="D133" s="3">
        <v>63.9</v>
      </c>
      <c r="E133" s="3">
        <v>59.0</v>
      </c>
      <c r="F133" s="3">
        <v>56.4</v>
      </c>
      <c r="G133" s="3">
        <v>49.0</v>
      </c>
      <c r="H133" s="11"/>
      <c r="I133" s="3">
        <v>63.2</v>
      </c>
      <c r="J133" s="11"/>
      <c r="K133" s="11"/>
      <c r="L133" s="11"/>
      <c r="M133" s="12">
        <f>(PMI!$D133+PMI!$E133)/2</f>
        <v>61.45</v>
      </c>
      <c r="N133" s="12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0">
        <v>21551.0</v>
      </c>
      <c r="B134" s="3">
        <v>64.4</v>
      </c>
      <c r="C134" s="3">
        <v>69.0</v>
      </c>
      <c r="D134" s="3">
        <v>70.7</v>
      </c>
      <c r="E134" s="3">
        <v>60.8</v>
      </c>
      <c r="F134" s="3">
        <v>61.8</v>
      </c>
      <c r="G134" s="3">
        <v>45.5</v>
      </c>
      <c r="H134" s="11"/>
      <c r="I134" s="3">
        <v>59.1</v>
      </c>
      <c r="J134" s="11"/>
      <c r="K134" s="11"/>
      <c r="L134" s="11"/>
      <c r="M134" s="12">
        <f>(PMI!$D134+PMI!$E134)/2</f>
        <v>65.75</v>
      </c>
      <c r="N134" s="12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0">
        <v>21582.0</v>
      </c>
      <c r="B135" s="3">
        <v>66.9</v>
      </c>
      <c r="C135" s="3">
        <v>70.5</v>
      </c>
      <c r="D135" s="3">
        <v>70.3</v>
      </c>
      <c r="E135" s="3">
        <v>62.5</v>
      </c>
      <c r="F135" s="3">
        <v>67.3</v>
      </c>
      <c r="G135" s="3">
        <v>55.5</v>
      </c>
      <c r="H135" s="11"/>
      <c r="I135" s="3">
        <v>66.6</v>
      </c>
      <c r="J135" s="11"/>
      <c r="K135" s="11"/>
      <c r="L135" s="11"/>
      <c r="M135" s="12">
        <f>(PMI!$D135+PMI!$E135)/2</f>
        <v>66.4</v>
      </c>
      <c r="N135" s="12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0">
        <v>21610.0</v>
      </c>
      <c r="B136" s="3">
        <v>67.1</v>
      </c>
      <c r="C136" s="3">
        <v>70.2</v>
      </c>
      <c r="D136" s="3">
        <v>71.2</v>
      </c>
      <c r="E136" s="3">
        <v>62.3</v>
      </c>
      <c r="F136" s="3">
        <v>66.3</v>
      </c>
      <c r="G136" s="3">
        <v>58.4</v>
      </c>
      <c r="H136" s="11"/>
      <c r="I136" s="3">
        <v>68.9</v>
      </c>
      <c r="J136" s="11"/>
      <c r="K136" s="11"/>
      <c r="L136" s="11"/>
      <c r="M136" s="12">
        <f>(PMI!$D136+PMI!$E136)/2</f>
        <v>66.75</v>
      </c>
      <c r="N136" s="12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0">
        <v>21641.0</v>
      </c>
      <c r="B137" s="3">
        <v>66.9</v>
      </c>
      <c r="C137" s="3">
        <v>66.9</v>
      </c>
      <c r="D137" s="3">
        <v>72.1</v>
      </c>
      <c r="E137" s="3">
        <v>63.6</v>
      </c>
      <c r="F137" s="3">
        <v>64.8</v>
      </c>
      <c r="G137" s="3">
        <v>63.4</v>
      </c>
      <c r="H137" s="11"/>
      <c r="I137" s="3">
        <v>63.6</v>
      </c>
      <c r="J137" s="11"/>
      <c r="K137" s="11"/>
      <c r="L137" s="11"/>
      <c r="M137" s="12">
        <f>(PMI!$D137+PMI!$E137)/2</f>
        <v>67.85</v>
      </c>
      <c r="N137" s="12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0">
        <v>21671.0</v>
      </c>
      <c r="B138" s="3">
        <v>68.2</v>
      </c>
      <c r="C138" s="3">
        <v>69.9</v>
      </c>
      <c r="D138" s="3">
        <v>73.9</v>
      </c>
      <c r="E138" s="3">
        <v>64.8</v>
      </c>
      <c r="F138" s="3">
        <v>63.0</v>
      </c>
      <c r="G138" s="3">
        <v>63.8</v>
      </c>
      <c r="H138" s="11"/>
      <c r="I138" s="3">
        <v>65.1</v>
      </c>
      <c r="J138" s="11"/>
      <c r="K138" s="11"/>
      <c r="L138" s="11"/>
      <c r="M138" s="12">
        <f>(PMI!$D138+PMI!$E138)/2</f>
        <v>69.35</v>
      </c>
      <c r="N138" s="12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0">
        <v>21702.0</v>
      </c>
      <c r="B139" s="3">
        <v>64.4</v>
      </c>
      <c r="C139" s="3">
        <v>64.2</v>
      </c>
      <c r="D139" s="3">
        <v>66.3</v>
      </c>
      <c r="E139" s="3">
        <v>62.2</v>
      </c>
      <c r="F139" s="3">
        <v>63.7</v>
      </c>
      <c r="G139" s="3">
        <v>65.6</v>
      </c>
      <c r="H139" s="11"/>
      <c r="I139" s="3">
        <v>69.5</v>
      </c>
      <c r="J139" s="11"/>
      <c r="K139" s="11"/>
      <c r="L139" s="11"/>
      <c r="M139" s="12">
        <f>(PMI!$D139+PMI!$E139)/2</f>
        <v>64.25</v>
      </c>
      <c r="N139" s="12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0">
        <v>21732.0</v>
      </c>
      <c r="B140" s="3">
        <v>61.5</v>
      </c>
      <c r="C140" s="3">
        <v>61.3</v>
      </c>
      <c r="D140" s="3">
        <v>64.8</v>
      </c>
      <c r="E140" s="3">
        <v>59.0</v>
      </c>
      <c r="F140" s="3">
        <v>59.1</v>
      </c>
      <c r="G140" s="3">
        <v>62.0</v>
      </c>
      <c r="H140" s="11"/>
      <c r="I140" s="3">
        <v>63.9</v>
      </c>
      <c r="J140" s="11"/>
      <c r="K140" s="11"/>
      <c r="L140" s="11"/>
      <c r="M140" s="12">
        <f>(PMI!$D140+PMI!$E140)/2</f>
        <v>61.9</v>
      </c>
      <c r="N140" s="12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0">
        <v>21763.0</v>
      </c>
      <c r="B141" s="3">
        <v>55.1</v>
      </c>
      <c r="C141" s="3">
        <v>54.4</v>
      </c>
      <c r="D141" s="3">
        <v>57.4</v>
      </c>
      <c r="E141" s="3">
        <v>53.6</v>
      </c>
      <c r="F141" s="3">
        <v>57.4</v>
      </c>
      <c r="G141" s="3">
        <v>50.9</v>
      </c>
      <c r="H141" s="11"/>
      <c r="I141" s="3">
        <v>57.6</v>
      </c>
      <c r="J141" s="11"/>
      <c r="K141" s="11"/>
      <c r="L141" s="11"/>
      <c r="M141" s="12">
        <f>(PMI!$D141+PMI!$E141)/2</f>
        <v>55.5</v>
      </c>
      <c r="N141" s="12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0">
        <v>21794.0</v>
      </c>
      <c r="B142" s="3">
        <v>48.3</v>
      </c>
      <c r="C142" s="3">
        <v>43.7</v>
      </c>
      <c r="D142" s="3">
        <v>50.9</v>
      </c>
      <c r="E142" s="3">
        <v>48.0</v>
      </c>
      <c r="F142" s="3">
        <v>57.5</v>
      </c>
      <c r="G142" s="3">
        <v>42.3</v>
      </c>
      <c r="H142" s="11"/>
      <c r="I142" s="3">
        <v>61.6</v>
      </c>
      <c r="J142" s="11"/>
      <c r="K142" s="11"/>
      <c r="L142" s="11"/>
      <c r="M142" s="12">
        <f>(PMI!$D142+PMI!$E142)/2</f>
        <v>49.45</v>
      </c>
      <c r="N142" s="12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0">
        <v>21824.0</v>
      </c>
      <c r="B143" s="3">
        <v>49.7</v>
      </c>
      <c r="C143" s="3">
        <v>50.0</v>
      </c>
      <c r="D143" s="3">
        <v>50.4</v>
      </c>
      <c r="E143" s="3">
        <v>47.3</v>
      </c>
      <c r="F143" s="3">
        <v>58.5</v>
      </c>
      <c r="G143" s="3">
        <v>39.1</v>
      </c>
      <c r="H143" s="11"/>
      <c r="I143" s="3">
        <v>63.1</v>
      </c>
      <c r="J143" s="11"/>
      <c r="K143" s="11"/>
      <c r="L143" s="11"/>
      <c r="M143" s="12">
        <f>(PMI!$D143+PMI!$E143)/2</f>
        <v>48.85</v>
      </c>
      <c r="N143" s="12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0">
        <v>21855.0</v>
      </c>
      <c r="B144" s="3">
        <v>50.6</v>
      </c>
      <c r="C144" s="3">
        <v>51.1</v>
      </c>
      <c r="D144" s="3">
        <v>51.9</v>
      </c>
      <c r="E144" s="3">
        <v>48.8</v>
      </c>
      <c r="F144" s="3">
        <v>54.6</v>
      </c>
      <c r="G144" s="3">
        <v>43.4</v>
      </c>
      <c r="H144" s="11"/>
      <c r="I144" s="3">
        <v>65.1</v>
      </c>
      <c r="J144" s="11"/>
      <c r="K144" s="11"/>
      <c r="L144" s="11"/>
      <c r="M144" s="12">
        <f>(PMI!$D144+PMI!$E144)/2</f>
        <v>50.35</v>
      </c>
      <c r="N144" s="12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0">
        <v>21885.0</v>
      </c>
      <c r="B145" s="3">
        <v>58.2</v>
      </c>
      <c r="C145" s="3">
        <v>62.8</v>
      </c>
      <c r="D145" s="3">
        <v>61.7</v>
      </c>
      <c r="E145" s="3">
        <v>54.8</v>
      </c>
      <c r="F145" s="3">
        <v>53.7</v>
      </c>
      <c r="G145" s="3">
        <v>49.1</v>
      </c>
      <c r="H145" s="11"/>
      <c r="I145" s="3">
        <v>63.6</v>
      </c>
      <c r="J145" s="11"/>
      <c r="K145" s="11"/>
      <c r="L145" s="11"/>
      <c r="M145" s="12">
        <f>(PMI!$D145+PMI!$E145)/2</f>
        <v>58.25</v>
      </c>
      <c r="N145" s="12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0">
        <v>21916.0</v>
      </c>
      <c r="B146" s="3">
        <v>61.5</v>
      </c>
      <c r="C146" s="3">
        <v>65.4</v>
      </c>
      <c r="D146" s="3">
        <v>71.9</v>
      </c>
      <c r="E146" s="3">
        <v>60.8</v>
      </c>
      <c r="F146" s="3">
        <v>46.2</v>
      </c>
      <c r="G146" s="3">
        <v>48.3</v>
      </c>
      <c r="H146" s="11"/>
      <c r="I146" s="3">
        <v>63.8</v>
      </c>
      <c r="J146" s="11"/>
      <c r="K146" s="11"/>
      <c r="L146" s="11"/>
      <c r="M146" s="12">
        <f>(PMI!$D146+PMI!$E146)/2</f>
        <v>66.35</v>
      </c>
      <c r="N146" s="12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0">
        <v>21947.0</v>
      </c>
      <c r="B147" s="3">
        <v>52.3</v>
      </c>
      <c r="C147" s="3">
        <v>52.5</v>
      </c>
      <c r="D147" s="3">
        <v>58.6</v>
      </c>
      <c r="E147" s="3">
        <v>57.2</v>
      </c>
      <c r="F147" s="3">
        <v>31.7</v>
      </c>
      <c r="G147" s="3">
        <v>56.6</v>
      </c>
      <c r="H147" s="11"/>
      <c r="I147" s="3">
        <v>60.9</v>
      </c>
      <c r="J147" s="11"/>
      <c r="K147" s="11"/>
      <c r="L147" s="11"/>
      <c r="M147" s="12">
        <f>(PMI!$D147+PMI!$E147)/2</f>
        <v>57.9</v>
      </c>
      <c r="N147" s="12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0">
        <v>21976.0</v>
      </c>
      <c r="B148" s="3">
        <v>47.8</v>
      </c>
      <c r="C148" s="3">
        <v>52.2</v>
      </c>
      <c r="D148" s="3">
        <v>52.4</v>
      </c>
      <c r="E148" s="3">
        <v>48.0</v>
      </c>
      <c r="F148" s="3">
        <v>28.8</v>
      </c>
      <c r="G148" s="3">
        <v>50.7</v>
      </c>
      <c r="H148" s="11"/>
      <c r="I148" s="3">
        <v>57.3</v>
      </c>
      <c r="J148" s="11"/>
      <c r="K148" s="11"/>
      <c r="L148" s="11"/>
      <c r="M148" s="12">
        <f>(PMI!$D148+PMI!$E148)/2</f>
        <v>50.2</v>
      </c>
      <c r="N148" s="12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0">
        <v>22007.0</v>
      </c>
      <c r="B149" s="3">
        <v>45.3</v>
      </c>
      <c r="C149" s="3">
        <v>52.0</v>
      </c>
      <c r="D149" s="3">
        <v>49.8</v>
      </c>
      <c r="E149" s="3">
        <v>42.0</v>
      </c>
      <c r="F149" s="3">
        <v>28.9</v>
      </c>
      <c r="G149" s="3">
        <v>45.5</v>
      </c>
      <c r="H149" s="11"/>
      <c r="I149" s="3">
        <v>60.4</v>
      </c>
      <c r="J149" s="11"/>
      <c r="K149" s="11"/>
      <c r="L149" s="11"/>
      <c r="M149" s="12">
        <f>(PMI!$D149+PMI!$E149)/2</f>
        <v>45.9</v>
      </c>
      <c r="N149" s="12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0">
        <v>22037.0</v>
      </c>
      <c r="B150" s="3">
        <v>42.6</v>
      </c>
      <c r="C150" s="3">
        <v>45.8</v>
      </c>
      <c r="D150" s="3">
        <v>45.0</v>
      </c>
      <c r="E150" s="3">
        <v>42.5</v>
      </c>
      <c r="F150" s="3">
        <v>32.3</v>
      </c>
      <c r="G150" s="3">
        <v>42.5</v>
      </c>
      <c r="H150" s="11"/>
      <c r="I150" s="3">
        <v>57.0</v>
      </c>
      <c r="J150" s="11"/>
      <c r="K150" s="11"/>
      <c r="L150" s="11"/>
      <c r="M150" s="12">
        <f>(PMI!$D150+PMI!$E150)/2</f>
        <v>43.75</v>
      </c>
      <c r="N150" s="12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0">
        <v>22068.0</v>
      </c>
      <c r="B151" s="3">
        <v>44.4</v>
      </c>
      <c r="C151" s="3">
        <v>49.2</v>
      </c>
      <c r="D151" s="3">
        <v>48.5</v>
      </c>
      <c r="E151" s="3">
        <v>39.7</v>
      </c>
      <c r="F151" s="3">
        <v>34.8</v>
      </c>
      <c r="G151" s="3">
        <v>43.9</v>
      </c>
      <c r="H151" s="11"/>
      <c r="I151" s="3">
        <v>52.6</v>
      </c>
      <c r="J151" s="11"/>
      <c r="K151" s="11"/>
      <c r="L151" s="11"/>
      <c r="M151" s="12">
        <f>(PMI!$D151+PMI!$E151)/2</f>
        <v>44.1</v>
      </c>
      <c r="N151" s="12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0">
        <v>22098.0</v>
      </c>
      <c r="B152" s="3">
        <v>43.7</v>
      </c>
      <c r="C152" s="3">
        <v>45.7</v>
      </c>
      <c r="D152" s="3">
        <v>48.2</v>
      </c>
      <c r="E152" s="3">
        <v>42.1</v>
      </c>
      <c r="F152" s="3">
        <v>35.8</v>
      </c>
      <c r="G152" s="3">
        <v>41.9</v>
      </c>
      <c r="H152" s="11"/>
      <c r="I152" s="3">
        <v>49.9</v>
      </c>
      <c r="J152" s="11"/>
      <c r="K152" s="11"/>
      <c r="L152" s="11"/>
      <c r="M152" s="12">
        <f>(PMI!$D152+PMI!$E152)/2</f>
        <v>45.15</v>
      </c>
      <c r="N152" s="12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0">
        <v>22129.0</v>
      </c>
      <c r="B153" s="3">
        <v>47.6</v>
      </c>
      <c r="C153" s="3">
        <v>55.6</v>
      </c>
      <c r="D153" s="3">
        <v>50.3</v>
      </c>
      <c r="E153" s="3">
        <v>43.6</v>
      </c>
      <c r="F153" s="3">
        <v>38.0</v>
      </c>
      <c r="G153" s="3">
        <v>39.1</v>
      </c>
      <c r="H153" s="11"/>
      <c r="I153" s="3">
        <v>50.6</v>
      </c>
      <c r="J153" s="11"/>
      <c r="K153" s="11"/>
      <c r="L153" s="11"/>
      <c r="M153" s="12">
        <f>(PMI!$D153+PMI!$E153)/2</f>
        <v>46.95</v>
      </c>
      <c r="N153" s="12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0">
        <v>22160.0</v>
      </c>
      <c r="B154" s="3">
        <v>45.4</v>
      </c>
      <c r="C154" s="3">
        <v>50.5</v>
      </c>
      <c r="D154" s="3">
        <v>50.0</v>
      </c>
      <c r="E154" s="3">
        <v>40.2</v>
      </c>
      <c r="F154" s="3">
        <v>37.3</v>
      </c>
      <c r="G154" s="3">
        <v>40.8</v>
      </c>
      <c r="H154" s="11"/>
      <c r="I154" s="3">
        <v>48.4</v>
      </c>
      <c r="J154" s="11"/>
      <c r="K154" s="11"/>
      <c r="L154" s="11"/>
      <c r="M154" s="12">
        <f>(PMI!$D154+PMI!$E154)/2</f>
        <v>45.1</v>
      </c>
      <c r="N154" s="12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0">
        <v>22190.0</v>
      </c>
      <c r="B155" s="3">
        <v>46.0</v>
      </c>
      <c r="C155" s="3">
        <v>50.1</v>
      </c>
      <c r="D155" s="3">
        <v>51.2</v>
      </c>
      <c r="E155" s="3">
        <v>43.7</v>
      </c>
      <c r="F155" s="3">
        <v>36.2</v>
      </c>
      <c r="G155" s="3">
        <v>39.7</v>
      </c>
      <c r="H155" s="11"/>
      <c r="I155" s="3">
        <v>45.0</v>
      </c>
      <c r="J155" s="11"/>
      <c r="K155" s="11"/>
      <c r="L155" s="11"/>
      <c r="M155" s="12">
        <f>(PMI!$D155+PMI!$E155)/2</f>
        <v>47.45</v>
      </c>
      <c r="N155" s="12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0">
        <v>22221.0</v>
      </c>
      <c r="B156" s="3">
        <v>44.3</v>
      </c>
      <c r="C156" s="3">
        <v>48.2</v>
      </c>
      <c r="D156" s="3">
        <v>45.6</v>
      </c>
      <c r="E156" s="3">
        <v>43.0</v>
      </c>
      <c r="F156" s="3">
        <v>37.6</v>
      </c>
      <c r="G156" s="3">
        <v>41.7</v>
      </c>
      <c r="H156" s="11"/>
      <c r="I156" s="3">
        <v>46.9</v>
      </c>
      <c r="J156" s="11"/>
      <c r="K156" s="11"/>
      <c r="L156" s="11"/>
      <c r="M156" s="12">
        <f>(PMI!$D156+PMI!$E156)/2</f>
        <v>44.3</v>
      </c>
      <c r="N156" s="12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0">
        <v>22251.0</v>
      </c>
      <c r="B157" s="3">
        <v>44.3</v>
      </c>
      <c r="C157" s="3">
        <v>47.5</v>
      </c>
      <c r="D157" s="3">
        <v>47.5</v>
      </c>
      <c r="E157" s="3">
        <v>40.7</v>
      </c>
      <c r="F157" s="3">
        <v>40.4</v>
      </c>
      <c r="G157" s="3">
        <v>39.3</v>
      </c>
      <c r="H157" s="11"/>
      <c r="I157" s="3">
        <v>46.6</v>
      </c>
      <c r="J157" s="11"/>
      <c r="K157" s="11"/>
      <c r="L157" s="11"/>
      <c r="M157" s="12">
        <f>(PMI!$D157+PMI!$E157)/2</f>
        <v>44.1</v>
      </c>
      <c r="N157" s="12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0">
        <v>22282.0</v>
      </c>
      <c r="B158" s="3">
        <v>43.9</v>
      </c>
      <c r="C158" s="3">
        <v>47.2</v>
      </c>
      <c r="D158" s="3">
        <v>47.3</v>
      </c>
      <c r="E158" s="3">
        <v>39.7</v>
      </c>
      <c r="F158" s="3">
        <v>39.2</v>
      </c>
      <c r="G158" s="3">
        <v>40.5</v>
      </c>
      <c r="H158" s="11"/>
      <c r="I158" s="3">
        <v>49.1</v>
      </c>
      <c r="J158" s="11"/>
      <c r="K158" s="11"/>
      <c r="L158" s="11"/>
      <c r="M158" s="12">
        <f>(PMI!$D158+PMI!$E158)/2</f>
        <v>43.5</v>
      </c>
      <c r="N158" s="12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0">
        <v>22313.0</v>
      </c>
      <c r="B159" s="3">
        <v>43.6</v>
      </c>
      <c r="C159" s="3">
        <v>48.7</v>
      </c>
      <c r="D159" s="3">
        <v>49.2</v>
      </c>
      <c r="E159" s="3">
        <v>34.2</v>
      </c>
      <c r="F159" s="3">
        <v>41.1</v>
      </c>
      <c r="G159" s="3">
        <v>36.6</v>
      </c>
      <c r="H159" s="11"/>
      <c r="I159" s="3">
        <v>50.3</v>
      </c>
      <c r="J159" s="11"/>
      <c r="K159" s="11"/>
      <c r="L159" s="11"/>
      <c r="M159" s="12">
        <f>(PMI!$D159+PMI!$E159)/2</f>
        <v>41.7</v>
      </c>
      <c r="N159" s="12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0">
        <v>22341.0</v>
      </c>
      <c r="B160" s="3">
        <v>49.1</v>
      </c>
      <c r="C160" s="3">
        <v>55.2</v>
      </c>
      <c r="D160" s="3">
        <v>55.4</v>
      </c>
      <c r="E160" s="3">
        <v>42.2</v>
      </c>
      <c r="F160" s="3">
        <v>42.1</v>
      </c>
      <c r="G160" s="3">
        <v>38.9</v>
      </c>
      <c r="H160" s="11"/>
      <c r="I160" s="3">
        <v>50.2</v>
      </c>
      <c r="J160" s="11"/>
      <c r="K160" s="11"/>
      <c r="L160" s="11"/>
      <c r="M160" s="12">
        <f>(PMI!$D160+PMI!$E160)/2</f>
        <v>48.8</v>
      </c>
      <c r="N160" s="12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0">
        <v>22372.0</v>
      </c>
      <c r="B161" s="3">
        <v>57.6</v>
      </c>
      <c r="C161" s="3">
        <v>67.7</v>
      </c>
      <c r="D161" s="3">
        <v>61.7</v>
      </c>
      <c r="E161" s="3">
        <v>53.2</v>
      </c>
      <c r="F161" s="3">
        <v>47.5</v>
      </c>
      <c r="G161" s="3">
        <v>41.3</v>
      </c>
      <c r="H161" s="11"/>
      <c r="I161" s="3">
        <v>51.8</v>
      </c>
      <c r="J161" s="11"/>
      <c r="K161" s="11"/>
      <c r="L161" s="11"/>
      <c r="M161" s="12">
        <f>(PMI!$D161+PMI!$E161)/2</f>
        <v>57.45</v>
      </c>
      <c r="N161" s="12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0">
        <v>22402.0</v>
      </c>
      <c r="B162" s="3">
        <v>58.9</v>
      </c>
      <c r="C162" s="3">
        <v>64.8</v>
      </c>
      <c r="D162" s="3">
        <v>66.6</v>
      </c>
      <c r="E162" s="3">
        <v>56.3</v>
      </c>
      <c r="F162" s="3">
        <v>47.9</v>
      </c>
      <c r="G162" s="3">
        <v>44.0</v>
      </c>
      <c r="H162" s="11"/>
      <c r="I162" s="3">
        <v>55.0</v>
      </c>
      <c r="J162" s="11"/>
      <c r="K162" s="11"/>
      <c r="L162" s="11"/>
      <c r="M162" s="12">
        <f>(PMI!$D162+PMI!$E162)/2</f>
        <v>61.45</v>
      </c>
      <c r="N162" s="12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0">
        <v>22433.0</v>
      </c>
      <c r="B163" s="3">
        <v>58.1</v>
      </c>
      <c r="C163" s="3">
        <v>64.0</v>
      </c>
      <c r="D163" s="3">
        <v>65.3</v>
      </c>
      <c r="E163" s="3">
        <v>55.1</v>
      </c>
      <c r="F163" s="3">
        <v>49.3</v>
      </c>
      <c r="G163" s="3">
        <v>42.0</v>
      </c>
      <c r="H163" s="11"/>
      <c r="I163" s="3">
        <v>50.0</v>
      </c>
      <c r="J163" s="11"/>
      <c r="K163" s="11"/>
      <c r="L163" s="11"/>
      <c r="M163" s="12">
        <f>(PMI!$D163+PMI!$E163)/2</f>
        <v>60.2</v>
      </c>
      <c r="N163" s="12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0">
        <v>22463.0</v>
      </c>
      <c r="B164" s="3">
        <v>58.2</v>
      </c>
      <c r="C164" s="3">
        <v>64.5</v>
      </c>
      <c r="D164" s="3">
        <v>64.3</v>
      </c>
      <c r="E164" s="3">
        <v>54.1</v>
      </c>
      <c r="F164" s="3">
        <v>49.4</v>
      </c>
      <c r="G164" s="3">
        <v>45.3</v>
      </c>
      <c r="H164" s="11"/>
      <c r="I164" s="3">
        <v>50.9</v>
      </c>
      <c r="J164" s="11"/>
      <c r="K164" s="11"/>
      <c r="L164" s="11"/>
      <c r="M164" s="12">
        <f>(PMI!$D164+PMI!$E164)/2</f>
        <v>59.2</v>
      </c>
      <c r="N164" s="12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0">
        <v>22494.0</v>
      </c>
      <c r="B165" s="3">
        <v>60.7</v>
      </c>
      <c r="C165" s="3">
        <v>62.9</v>
      </c>
      <c r="D165" s="3">
        <v>68.4</v>
      </c>
      <c r="E165" s="3">
        <v>58.3</v>
      </c>
      <c r="F165" s="3">
        <v>50.6</v>
      </c>
      <c r="G165" s="3">
        <v>54.5</v>
      </c>
      <c r="H165" s="11"/>
      <c r="I165" s="3">
        <v>52.2</v>
      </c>
      <c r="J165" s="11"/>
      <c r="K165" s="11"/>
      <c r="L165" s="11"/>
      <c r="M165" s="12">
        <f>(PMI!$D165+PMI!$E165)/2</f>
        <v>63.35</v>
      </c>
      <c r="N165" s="12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0">
        <v>22525.0</v>
      </c>
      <c r="B166" s="3">
        <v>63.0</v>
      </c>
      <c r="C166" s="3">
        <v>69.5</v>
      </c>
      <c r="D166" s="3">
        <v>66.8</v>
      </c>
      <c r="E166" s="3">
        <v>61.1</v>
      </c>
      <c r="F166" s="3">
        <v>50.7</v>
      </c>
      <c r="G166" s="3">
        <v>56.3</v>
      </c>
      <c r="H166" s="11"/>
      <c r="I166" s="3">
        <v>53.9</v>
      </c>
      <c r="J166" s="11"/>
      <c r="K166" s="11"/>
      <c r="L166" s="11"/>
      <c r="M166" s="12">
        <f>(PMI!$D166+PMI!$E166)/2</f>
        <v>63.95</v>
      </c>
      <c r="N166" s="12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0">
        <v>22555.0</v>
      </c>
      <c r="B167" s="3">
        <v>62.2</v>
      </c>
      <c r="C167" s="3">
        <v>68.3</v>
      </c>
      <c r="D167" s="3">
        <v>66.3</v>
      </c>
      <c r="E167" s="3">
        <v>58.2</v>
      </c>
      <c r="F167" s="3">
        <v>52.4</v>
      </c>
      <c r="G167" s="3">
        <v>56.7</v>
      </c>
      <c r="H167" s="11"/>
      <c r="I167" s="3">
        <v>55.5</v>
      </c>
      <c r="J167" s="11"/>
      <c r="K167" s="11"/>
      <c r="L167" s="11"/>
      <c r="M167" s="12">
        <f>(PMI!$D167+PMI!$E167)/2</f>
        <v>62.25</v>
      </c>
      <c r="N167" s="12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0">
        <v>22586.0</v>
      </c>
      <c r="B168" s="3">
        <v>59.0</v>
      </c>
      <c r="C168" s="3">
        <v>65.1</v>
      </c>
      <c r="D168" s="3">
        <v>58.3</v>
      </c>
      <c r="E168" s="3">
        <v>59.0</v>
      </c>
      <c r="F168" s="3">
        <v>51.1</v>
      </c>
      <c r="G168" s="3">
        <v>54.6</v>
      </c>
      <c r="H168" s="11"/>
      <c r="I168" s="3">
        <v>51.9</v>
      </c>
      <c r="J168" s="11"/>
      <c r="K168" s="11"/>
      <c r="L168" s="11"/>
      <c r="M168" s="12">
        <f>(PMI!$D168+PMI!$E168)/2</f>
        <v>58.65</v>
      </c>
      <c r="N168" s="12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0">
        <v>22616.0</v>
      </c>
      <c r="B169" s="3">
        <v>64.2</v>
      </c>
      <c r="C169" s="3">
        <v>73.4</v>
      </c>
      <c r="D169" s="3">
        <v>66.1</v>
      </c>
      <c r="E169" s="3">
        <v>58.6</v>
      </c>
      <c r="F169" s="3">
        <v>55.8</v>
      </c>
      <c r="G169" s="3">
        <v>56.1</v>
      </c>
      <c r="H169" s="11"/>
      <c r="I169" s="3">
        <v>56.3</v>
      </c>
      <c r="J169" s="11"/>
      <c r="K169" s="11"/>
      <c r="L169" s="11"/>
      <c r="M169" s="12">
        <f>(PMI!$D169+PMI!$E169)/2</f>
        <v>62.35</v>
      </c>
      <c r="N169" s="12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0">
        <v>22647.0</v>
      </c>
      <c r="B170" s="3">
        <v>60.9</v>
      </c>
      <c r="C170" s="3">
        <v>59.4</v>
      </c>
      <c r="D170" s="3">
        <v>66.4</v>
      </c>
      <c r="E170" s="3">
        <v>60.3</v>
      </c>
      <c r="F170" s="3">
        <v>57.1</v>
      </c>
      <c r="G170" s="3">
        <v>59.0</v>
      </c>
      <c r="H170" s="11"/>
      <c r="I170" s="3">
        <v>57.1</v>
      </c>
      <c r="J170" s="11"/>
      <c r="K170" s="11"/>
      <c r="L170" s="11"/>
      <c r="M170" s="12">
        <f>(PMI!$D170+PMI!$E170)/2</f>
        <v>63.35</v>
      </c>
      <c r="N170" s="12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0">
        <v>22678.0</v>
      </c>
      <c r="B171" s="3">
        <v>61.1</v>
      </c>
      <c r="C171" s="3">
        <v>61.8</v>
      </c>
      <c r="D171" s="3">
        <v>64.7</v>
      </c>
      <c r="E171" s="3">
        <v>60.5</v>
      </c>
      <c r="F171" s="3">
        <v>56.2</v>
      </c>
      <c r="G171" s="3">
        <v>58.6</v>
      </c>
      <c r="H171" s="11"/>
      <c r="I171" s="3">
        <v>54.7</v>
      </c>
      <c r="J171" s="11"/>
      <c r="K171" s="11"/>
      <c r="L171" s="11"/>
      <c r="M171" s="12">
        <f>(PMI!$D171+PMI!$E171)/2</f>
        <v>62.6</v>
      </c>
      <c r="N171" s="12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0">
        <v>22706.0</v>
      </c>
      <c r="B172" s="3">
        <v>60.6</v>
      </c>
      <c r="C172" s="3">
        <v>60.1</v>
      </c>
      <c r="D172" s="3">
        <v>66.9</v>
      </c>
      <c r="E172" s="3">
        <v>57.6</v>
      </c>
      <c r="F172" s="3">
        <v>57.0</v>
      </c>
      <c r="G172" s="3">
        <v>57.5</v>
      </c>
      <c r="H172" s="11"/>
      <c r="I172" s="3">
        <v>56.8</v>
      </c>
      <c r="J172" s="11"/>
      <c r="K172" s="11"/>
      <c r="L172" s="11"/>
      <c r="M172" s="12">
        <f>(PMI!$D172+PMI!$E172)/2</f>
        <v>62.25</v>
      </c>
      <c r="N172" s="12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0">
        <v>22737.0</v>
      </c>
      <c r="B173" s="3">
        <v>55.1</v>
      </c>
      <c r="C173" s="3">
        <v>57.3</v>
      </c>
      <c r="D173" s="3">
        <v>57.4</v>
      </c>
      <c r="E173" s="3">
        <v>55.6</v>
      </c>
      <c r="F173" s="3">
        <v>47.4</v>
      </c>
      <c r="G173" s="3">
        <v>53.5</v>
      </c>
      <c r="H173" s="11"/>
      <c r="I173" s="3">
        <v>53.6</v>
      </c>
      <c r="J173" s="11"/>
      <c r="K173" s="11"/>
      <c r="L173" s="11"/>
      <c r="M173" s="12">
        <f>(PMI!$D173+PMI!$E173)/2</f>
        <v>56.5</v>
      </c>
      <c r="N173" s="12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0">
        <v>22767.0</v>
      </c>
      <c r="B174" s="3">
        <v>52.2</v>
      </c>
      <c r="C174" s="3">
        <v>53.6</v>
      </c>
      <c r="D174" s="3">
        <v>55.3</v>
      </c>
      <c r="E174" s="3">
        <v>52.3</v>
      </c>
      <c r="F174" s="3">
        <v>45.2</v>
      </c>
      <c r="G174" s="3">
        <v>50.3</v>
      </c>
      <c r="H174" s="11"/>
      <c r="I174" s="3">
        <v>52.0</v>
      </c>
      <c r="J174" s="11"/>
      <c r="K174" s="11"/>
      <c r="L174" s="11"/>
      <c r="M174" s="12">
        <f>(PMI!$D174+PMI!$E174)/2</f>
        <v>53.8</v>
      </c>
      <c r="N174" s="12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0">
        <v>22798.0</v>
      </c>
      <c r="B175" s="3">
        <v>50.8</v>
      </c>
      <c r="C175" s="3">
        <v>52.5</v>
      </c>
      <c r="D175" s="3">
        <v>54.8</v>
      </c>
      <c r="E175" s="3">
        <v>51.6</v>
      </c>
      <c r="F175" s="3">
        <v>43.3</v>
      </c>
      <c r="G175" s="3">
        <v>46.4</v>
      </c>
      <c r="H175" s="11"/>
      <c r="I175" s="3">
        <v>51.7</v>
      </c>
      <c r="J175" s="11"/>
      <c r="K175" s="11"/>
      <c r="L175" s="11"/>
      <c r="M175" s="12">
        <f>(PMI!$D175+PMI!$E175)/2</f>
        <v>53.2</v>
      </c>
      <c r="N175" s="12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0">
        <v>22828.0</v>
      </c>
      <c r="B176" s="3">
        <v>51.0</v>
      </c>
      <c r="C176" s="3">
        <v>53.2</v>
      </c>
      <c r="D176" s="3">
        <v>54.7</v>
      </c>
      <c r="E176" s="3">
        <v>51.2</v>
      </c>
      <c r="F176" s="3">
        <v>45.1</v>
      </c>
      <c r="G176" s="3">
        <v>43.8</v>
      </c>
      <c r="H176" s="11"/>
      <c r="I176" s="3">
        <v>51.6</v>
      </c>
      <c r="J176" s="11"/>
      <c r="K176" s="11"/>
      <c r="L176" s="11"/>
      <c r="M176" s="12">
        <f>(PMI!$D176+PMI!$E176)/2</f>
        <v>52.95</v>
      </c>
      <c r="N176" s="12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0">
        <v>22859.0</v>
      </c>
      <c r="B177" s="3">
        <v>49.5</v>
      </c>
      <c r="C177" s="3">
        <v>52.9</v>
      </c>
      <c r="D177" s="3">
        <v>52.5</v>
      </c>
      <c r="E177" s="3">
        <v>47.0</v>
      </c>
      <c r="F177" s="3">
        <v>43.7</v>
      </c>
      <c r="G177" s="3">
        <v>45.2</v>
      </c>
      <c r="H177" s="11"/>
      <c r="I177" s="3">
        <v>47.7</v>
      </c>
      <c r="J177" s="11"/>
      <c r="K177" s="11"/>
      <c r="L177" s="11"/>
      <c r="M177" s="12">
        <f>(PMI!$D177+PMI!$E177)/2</f>
        <v>49.75</v>
      </c>
      <c r="N177" s="12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0">
        <v>22890.0</v>
      </c>
      <c r="B178" s="3">
        <v>50.0</v>
      </c>
      <c r="C178" s="3">
        <v>53.0</v>
      </c>
      <c r="D178" s="3">
        <v>52.4</v>
      </c>
      <c r="E178" s="3">
        <v>49.7</v>
      </c>
      <c r="F178" s="3">
        <v>45.1</v>
      </c>
      <c r="G178" s="3">
        <v>42.5</v>
      </c>
      <c r="H178" s="11"/>
      <c r="I178" s="3">
        <v>45.4</v>
      </c>
      <c r="J178" s="11"/>
      <c r="K178" s="11"/>
      <c r="L178" s="11"/>
      <c r="M178" s="12">
        <f>(PMI!$D178+PMI!$E178)/2</f>
        <v>51.05</v>
      </c>
      <c r="N178" s="12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0">
        <v>22920.0</v>
      </c>
      <c r="B179" s="3">
        <v>51.2</v>
      </c>
      <c r="C179" s="3">
        <v>53.6</v>
      </c>
      <c r="D179" s="3">
        <v>54.0</v>
      </c>
      <c r="E179" s="3">
        <v>49.9</v>
      </c>
      <c r="F179" s="3">
        <v>46.7</v>
      </c>
      <c r="G179" s="3">
        <v>46.2</v>
      </c>
      <c r="H179" s="11"/>
      <c r="I179" s="3">
        <v>43.9</v>
      </c>
      <c r="J179" s="11"/>
      <c r="K179" s="11"/>
      <c r="L179" s="11"/>
      <c r="M179" s="12">
        <f>(PMI!$D179+PMI!$E179)/2</f>
        <v>51.95</v>
      </c>
      <c r="N179" s="12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0">
        <v>22951.0</v>
      </c>
      <c r="B180" s="3">
        <v>53.8</v>
      </c>
      <c r="C180" s="3">
        <v>57.8</v>
      </c>
      <c r="D180" s="3">
        <v>56.9</v>
      </c>
      <c r="E180" s="3">
        <v>48.7</v>
      </c>
      <c r="F180" s="3">
        <v>48.7</v>
      </c>
      <c r="G180" s="3">
        <v>51.5</v>
      </c>
      <c r="H180" s="11"/>
      <c r="I180" s="3">
        <v>47.1</v>
      </c>
      <c r="J180" s="11"/>
      <c r="K180" s="11"/>
      <c r="L180" s="11"/>
      <c r="M180" s="12">
        <f>(PMI!$D180+PMI!$E180)/2</f>
        <v>52.8</v>
      </c>
      <c r="N180" s="12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0">
        <v>22981.0</v>
      </c>
      <c r="B181" s="3">
        <v>57.2</v>
      </c>
      <c r="C181" s="3">
        <v>59.7</v>
      </c>
      <c r="D181" s="3">
        <v>63.3</v>
      </c>
      <c r="E181" s="3">
        <v>54.6</v>
      </c>
      <c r="F181" s="3">
        <v>50.1</v>
      </c>
      <c r="G181" s="3">
        <v>50.1</v>
      </c>
      <c r="H181" s="11"/>
      <c r="I181" s="3">
        <v>47.3</v>
      </c>
      <c r="J181" s="11"/>
      <c r="K181" s="11"/>
      <c r="L181" s="11"/>
      <c r="M181" s="12">
        <f>(PMI!$D181+PMI!$E181)/2</f>
        <v>58.95</v>
      </c>
      <c r="N181" s="12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0">
        <v>23012.0</v>
      </c>
      <c r="B182" s="3">
        <v>55.2</v>
      </c>
      <c r="C182" s="3">
        <v>60.9</v>
      </c>
      <c r="D182" s="3">
        <v>56.5</v>
      </c>
      <c r="E182" s="3">
        <v>52.5</v>
      </c>
      <c r="F182" s="3">
        <v>50.4</v>
      </c>
      <c r="G182" s="3">
        <v>47.4</v>
      </c>
      <c r="H182" s="11"/>
      <c r="I182" s="3">
        <v>48.5</v>
      </c>
      <c r="J182" s="11"/>
      <c r="K182" s="11"/>
      <c r="L182" s="11"/>
      <c r="M182" s="12">
        <f>(PMI!$D182+PMI!$E182)/2</f>
        <v>54.5</v>
      </c>
      <c r="N182" s="12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0">
        <v>23043.0</v>
      </c>
      <c r="B183" s="3">
        <v>55.1</v>
      </c>
      <c r="C183" s="3">
        <v>60.4</v>
      </c>
      <c r="D183" s="3">
        <v>57.7</v>
      </c>
      <c r="E183" s="3">
        <v>50.2</v>
      </c>
      <c r="F183" s="3">
        <v>51.0</v>
      </c>
      <c r="G183" s="3">
        <v>48.3</v>
      </c>
      <c r="H183" s="11"/>
      <c r="I183" s="3">
        <v>51.7</v>
      </c>
      <c r="J183" s="11"/>
      <c r="K183" s="11"/>
      <c r="L183" s="11"/>
      <c r="M183" s="12">
        <f>(PMI!$D183+PMI!$E183)/2</f>
        <v>53.95</v>
      </c>
      <c r="N183" s="12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0">
        <v>23071.0</v>
      </c>
      <c r="B184" s="3">
        <v>54.7</v>
      </c>
      <c r="C184" s="3">
        <v>57.5</v>
      </c>
      <c r="D184" s="3">
        <v>56.3</v>
      </c>
      <c r="E184" s="3">
        <v>52.4</v>
      </c>
      <c r="F184" s="3">
        <v>54.9</v>
      </c>
      <c r="G184" s="3">
        <v>46.8</v>
      </c>
      <c r="H184" s="11"/>
      <c r="I184" s="3">
        <v>47.5</v>
      </c>
      <c r="J184" s="11"/>
      <c r="K184" s="11"/>
      <c r="L184" s="11"/>
      <c r="M184" s="12">
        <f>(PMI!$D184+PMI!$E184)/2</f>
        <v>54.35</v>
      </c>
      <c r="N184" s="12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0">
        <v>23102.0</v>
      </c>
      <c r="B185" s="3">
        <v>57.6</v>
      </c>
      <c r="C185" s="3">
        <v>60.6</v>
      </c>
      <c r="D185" s="3">
        <v>61.0</v>
      </c>
      <c r="E185" s="3">
        <v>52.7</v>
      </c>
      <c r="F185" s="3">
        <v>58.2</v>
      </c>
      <c r="G185" s="3">
        <v>48.6</v>
      </c>
      <c r="H185" s="11"/>
      <c r="I185" s="3">
        <v>55.0</v>
      </c>
      <c r="J185" s="11"/>
      <c r="K185" s="11"/>
      <c r="L185" s="11"/>
      <c r="M185" s="12">
        <f>(PMI!$D185+PMI!$E185)/2</f>
        <v>56.85</v>
      </c>
      <c r="N185" s="12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0">
        <v>23132.0</v>
      </c>
      <c r="B186" s="3">
        <v>59.8</v>
      </c>
      <c r="C186" s="3">
        <v>66.9</v>
      </c>
      <c r="D186" s="3">
        <v>60.4</v>
      </c>
      <c r="E186" s="3">
        <v>53.5</v>
      </c>
      <c r="F186" s="3">
        <v>56.4</v>
      </c>
      <c r="G186" s="3">
        <v>54.2</v>
      </c>
      <c r="H186" s="11"/>
      <c r="I186" s="3">
        <v>67.1</v>
      </c>
      <c r="J186" s="11"/>
      <c r="K186" s="11"/>
      <c r="L186" s="11"/>
      <c r="M186" s="12">
        <f>(PMI!$D186+PMI!$E186)/2</f>
        <v>56.95</v>
      </c>
      <c r="N186" s="12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0">
        <v>23163.0</v>
      </c>
      <c r="B187" s="3">
        <v>58.2</v>
      </c>
      <c r="C187" s="3">
        <v>61.9</v>
      </c>
      <c r="D187" s="3">
        <v>60.6</v>
      </c>
      <c r="E187" s="3">
        <v>52.6</v>
      </c>
      <c r="F187" s="3">
        <v>56.3</v>
      </c>
      <c r="G187" s="3">
        <v>55.0</v>
      </c>
      <c r="H187" s="11"/>
      <c r="I187" s="3">
        <v>58.7</v>
      </c>
      <c r="J187" s="11"/>
      <c r="K187" s="11"/>
      <c r="L187" s="11"/>
      <c r="M187" s="12">
        <f>(PMI!$D187+PMI!$E187)/2</f>
        <v>56.6</v>
      </c>
      <c r="N187" s="12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0">
        <v>23193.0</v>
      </c>
      <c r="B188" s="3">
        <v>55.5</v>
      </c>
      <c r="C188" s="3">
        <v>60.1</v>
      </c>
      <c r="D188" s="3">
        <v>60.4</v>
      </c>
      <c r="E188" s="3">
        <v>52.0</v>
      </c>
      <c r="F188" s="3">
        <v>43.6</v>
      </c>
      <c r="G188" s="3">
        <v>54.0</v>
      </c>
      <c r="H188" s="11"/>
      <c r="I188" s="3">
        <v>61.0</v>
      </c>
      <c r="J188" s="11"/>
      <c r="K188" s="11"/>
      <c r="L188" s="11"/>
      <c r="M188" s="12">
        <f>(PMI!$D188+PMI!$E188)/2</f>
        <v>56.2</v>
      </c>
      <c r="N188" s="12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0">
        <v>23224.0</v>
      </c>
      <c r="B189" s="3">
        <v>55.1</v>
      </c>
      <c r="C189" s="3">
        <v>62.0</v>
      </c>
      <c r="D189" s="3">
        <v>56.8</v>
      </c>
      <c r="E189" s="3">
        <v>51.1</v>
      </c>
      <c r="F189" s="3">
        <v>48.5</v>
      </c>
      <c r="G189" s="3">
        <v>48.1</v>
      </c>
      <c r="H189" s="11"/>
      <c r="I189" s="3">
        <v>59.8</v>
      </c>
      <c r="J189" s="11"/>
      <c r="K189" s="11"/>
      <c r="L189" s="11"/>
      <c r="M189" s="12">
        <f>(PMI!$D189+PMI!$E189)/2</f>
        <v>53.95</v>
      </c>
      <c r="N189" s="12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0">
        <v>23255.0</v>
      </c>
      <c r="B190" s="3">
        <v>56.9</v>
      </c>
      <c r="C190" s="3">
        <v>59.8</v>
      </c>
      <c r="D190" s="3">
        <v>63.2</v>
      </c>
      <c r="E190" s="3">
        <v>54.8</v>
      </c>
      <c r="F190" s="3">
        <v>49.7</v>
      </c>
      <c r="G190" s="3">
        <v>47.9</v>
      </c>
      <c r="H190" s="11"/>
      <c r="I190" s="3">
        <v>57.8</v>
      </c>
      <c r="J190" s="11"/>
      <c r="K190" s="11"/>
      <c r="L190" s="11"/>
      <c r="M190" s="12">
        <f>(PMI!$D190+PMI!$E190)/2</f>
        <v>59</v>
      </c>
      <c r="N190" s="12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0">
        <v>23285.0</v>
      </c>
      <c r="B191" s="3">
        <v>57.7</v>
      </c>
      <c r="C191" s="3">
        <v>64.0</v>
      </c>
      <c r="D191" s="3">
        <v>63.3</v>
      </c>
      <c r="E191" s="3">
        <v>54.5</v>
      </c>
      <c r="F191" s="3">
        <v>47.4</v>
      </c>
      <c r="G191" s="3">
        <v>46.4</v>
      </c>
      <c r="H191" s="11"/>
      <c r="I191" s="3">
        <v>76.9</v>
      </c>
      <c r="J191" s="11"/>
      <c r="K191" s="11"/>
      <c r="L191" s="11"/>
      <c r="M191" s="12">
        <f>(PMI!$D191+PMI!$E191)/2</f>
        <v>58.9</v>
      </c>
      <c r="N191" s="12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0">
        <v>23316.0</v>
      </c>
      <c r="B192" s="3">
        <v>57.5</v>
      </c>
      <c r="C192" s="3">
        <v>63.7</v>
      </c>
      <c r="D192" s="3">
        <v>64.1</v>
      </c>
      <c r="E192" s="3">
        <v>53.5</v>
      </c>
      <c r="F192" s="3">
        <v>48.7</v>
      </c>
      <c r="G192" s="3">
        <v>43.7</v>
      </c>
      <c r="H192" s="11"/>
      <c r="I192" s="3">
        <v>66.2</v>
      </c>
      <c r="J192" s="11"/>
      <c r="K192" s="11"/>
      <c r="L192" s="11"/>
      <c r="M192" s="12">
        <f>(PMI!$D192+PMI!$E192)/2</f>
        <v>58.8</v>
      </c>
      <c r="N192" s="12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0">
        <v>23346.0</v>
      </c>
      <c r="B193" s="3">
        <v>54.0</v>
      </c>
      <c r="C193" s="3">
        <v>58.6</v>
      </c>
      <c r="D193" s="3">
        <v>60.7</v>
      </c>
      <c r="E193" s="3">
        <v>48.4</v>
      </c>
      <c r="F193" s="3">
        <v>47.6</v>
      </c>
      <c r="G193" s="3">
        <v>44.2</v>
      </c>
      <c r="H193" s="11"/>
      <c r="I193" s="3">
        <v>64.4</v>
      </c>
      <c r="J193" s="11"/>
      <c r="K193" s="11"/>
      <c r="L193" s="11"/>
      <c r="M193" s="12">
        <f>(PMI!$D193+PMI!$E193)/2</f>
        <v>54.55</v>
      </c>
      <c r="N193" s="12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0">
        <v>23377.0</v>
      </c>
      <c r="B194" s="3">
        <v>57.1</v>
      </c>
      <c r="C194" s="3">
        <v>61.3</v>
      </c>
      <c r="D194" s="3">
        <v>63.3</v>
      </c>
      <c r="E194" s="3">
        <v>51.4</v>
      </c>
      <c r="F194" s="3">
        <v>55.3</v>
      </c>
      <c r="G194" s="3">
        <v>42.9</v>
      </c>
      <c r="H194" s="11"/>
      <c r="I194" s="3">
        <v>60.0</v>
      </c>
      <c r="J194" s="11"/>
      <c r="K194" s="11"/>
      <c r="L194" s="11"/>
      <c r="M194" s="12">
        <f>(PMI!$D194+PMI!$E194)/2</f>
        <v>57.35</v>
      </c>
      <c r="N194" s="12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0">
        <v>23408.0</v>
      </c>
      <c r="B195" s="3">
        <v>57.9</v>
      </c>
      <c r="C195" s="3">
        <v>61.8</v>
      </c>
      <c r="D195" s="3">
        <v>64.0</v>
      </c>
      <c r="E195" s="3">
        <v>52.7</v>
      </c>
      <c r="F195" s="3">
        <v>51.9</v>
      </c>
      <c r="G195" s="3">
        <v>50.4</v>
      </c>
      <c r="H195" s="11"/>
      <c r="I195" s="3">
        <v>60.1</v>
      </c>
      <c r="J195" s="11"/>
      <c r="K195" s="11"/>
      <c r="L195" s="11"/>
      <c r="M195" s="12">
        <f>(PMI!$D195+PMI!$E195)/2</f>
        <v>58.35</v>
      </c>
      <c r="N195" s="12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0">
        <v>23437.0</v>
      </c>
      <c r="B196" s="3">
        <v>60.2</v>
      </c>
      <c r="C196" s="3">
        <v>61.7</v>
      </c>
      <c r="D196" s="3">
        <v>64.4</v>
      </c>
      <c r="E196" s="3">
        <v>55.2</v>
      </c>
      <c r="F196" s="3">
        <v>60.3</v>
      </c>
      <c r="G196" s="3">
        <v>54.6</v>
      </c>
      <c r="H196" s="11"/>
      <c r="I196" s="3">
        <v>60.6</v>
      </c>
      <c r="J196" s="11"/>
      <c r="K196" s="11"/>
      <c r="L196" s="11"/>
      <c r="M196" s="12">
        <f>(PMI!$D196+PMI!$E196)/2</f>
        <v>59.8</v>
      </c>
      <c r="N196" s="12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0">
        <v>23468.0</v>
      </c>
      <c r="B197" s="3">
        <v>59.2</v>
      </c>
      <c r="C197" s="3">
        <v>63.6</v>
      </c>
      <c r="D197" s="3">
        <v>60.6</v>
      </c>
      <c r="E197" s="3">
        <v>55.2</v>
      </c>
      <c r="F197" s="3">
        <v>57.7</v>
      </c>
      <c r="G197" s="3">
        <v>53.1</v>
      </c>
      <c r="H197" s="11"/>
      <c r="I197" s="3">
        <v>65.4</v>
      </c>
      <c r="J197" s="11"/>
      <c r="K197" s="11"/>
      <c r="L197" s="11"/>
      <c r="M197" s="12">
        <f>(PMI!$D197+PMI!$E197)/2</f>
        <v>57.9</v>
      </c>
      <c r="N197" s="12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0">
        <v>23498.0</v>
      </c>
      <c r="B198" s="3">
        <v>58.7</v>
      </c>
      <c r="C198" s="3">
        <v>59.9</v>
      </c>
      <c r="D198" s="3">
        <v>61.0</v>
      </c>
      <c r="E198" s="3">
        <v>56.0</v>
      </c>
      <c r="F198" s="3">
        <v>61.4</v>
      </c>
      <c r="G198" s="3">
        <v>50.3</v>
      </c>
      <c r="H198" s="11"/>
      <c r="I198" s="3">
        <v>60.3</v>
      </c>
      <c r="J198" s="11"/>
      <c r="K198" s="11"/>
      <c r="L198" s="11"/>
      <c r="M198" s="12">
        <f>(PMI!$D198+PMI!$E198)/2</f>
        <v>58.5</v>
      </c>
      <c r="N198" s="12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0">
        <v>23529.0</v>
      </c>
      <c r="B199" s="3">
        <v>60.1</v>
      </c>
      <c r="C199" s="3">
        <v>64.7</v>
      </c>
      <c r="D199" s="3">
        <v>62.1</v>
      </c>
      <c r="E199" s="3">
        <v>55.7</v>
      </c>
      <c r="F199" s="3">
        <v>57.6</v>
      </c>
      <c r="G199" s="3">
        <v>53.5</v>
      </c>
      <c r="H199" s="11"/>
      <c r="I199" s="3">
        <v>58.9</v>
      </c>
      <c r="J199" s="11"/>
      <c r="K199" s="11"/>
      <c r="L199" s="11"/>
      <c r="M199" s="12">
        <f>(PMI!$D199+PMI!$E199)/2</f>
        <v>58.9</v>
      </c>
      <c r="N199" s="12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0">
        <v>23559.0</v>
      </c>
      <c r="B200" s="3">
        <v>62.9</v>
      </c>
      <c r="C200" s="3">
        <v>69.9</v>
      </c>
      <c r="D200" s="3">
        <v>63.7</v>
      </c>
      <c r="E200" s="3">
        <v>56.3</v>
      </c>
      <c r="F200" s="3">
        <v>61.8</v>
      </c>
      <c r="G200" s="3">
        <v>55.5</v>
      </c>
      <c r="H200" s="11"/>
      <c r="I200" s="3">
        <v>60.9</v>
      </c>
      <c r="J200" s="11"/>
      <c r="K200" s="11"/>
      <c r="L200" s="11"/>
      <c r="M200" s="12">
        <f>(PMI!$D200+PMI!$E200)/2</f>
        <v>60</v>
      </c>
      <c r="N200" s="12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0">
        <v>23590.0</v>
      </c>
      <c r="B201" s="3">
        <v>63.3</v>
      </c>
      <c r="C201" s="3">
        <v>68.0</v>
      </c>
      <c r="D201" s="3">
        <v>63.9</v>
      </c>
      <c r="E201" s="3">
        <v>58.0</v>
      </c>
      <c r="F201" s="3">
        <v>66.2</v>
      </c>
      <c r="G201" s="3">
        <v>53.5</v>
      </c>
      <c r="H201" s="11"/>
      <c r="I201" s="3">
        <v>61.7</v>
      </c>
      <c r="J201" s="11"/>
      <c r="K201" s="11"/>
      <c r="L201" s="11"/>
      <c r="M201" s="12">
        <f>(PMI!$D201+PMI!$E201)/2</f>
        <v>60.95</v>
      </c>
      <c r="N201" s="12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0">
        <v>23621.0</v>
      </c>
      <c r="B202" s="3">
        <v>63.3</v>
      </c>
      <c r="C202" s="3">
        <v>63.3</v>
      </c>
      <c r="D202" s="3">
        <v>64.9</v>
      </c>
      <c r="E202" s="3">
        <v>56.8</v>
      </c>
      <c r="F202" s="3">
        <v>71.9</v>
      </c>
      <c r="G202" s="3">
        <v>59.0</v>
      </c>
      <c r="H202" s="11"/>
      <c r="I202" s="3">
        <v>64.8</v>
      </c>
      <c r="J202" s="11"/>
      <c r="K202" s="11"/>
      <c r="L202" s="11"/>
      <c r="M202" s="12">
        <f>(PMI!$D202+PMI!$E202)/2</f>
        <v>60.85</v>
      </c>
      <c r="N202" s="12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0">
        <v>23651.0</v>
      </c>
      <c r="B203" s="3">
        <v>60.7</v>
      </c>
      <c r="C203" s="3">
        <v>58.9</v>
      </c>
      <c r="D203" s="3">
        <v>61.8</v>
      </c>
      <c r="E203" s="3">
        <v>55.0</v>
      </c>
      <c r="F203" s="3">
        <v>71.2</v>
      </c>
      <c r="G203" s="3">
        <v>59.1</v>
      </c>
      <c r="H203" s="11"/>
      <c r="I203" s="3">
        <v>68.8</v>
      </c>
      <c r="J203" s="11"/>
      <c r="K203" s="11"/>
      <c r="L203" s="11"/>
      <c r="M203" s="12">
        <f>(PMI!$D203+PMI!$E203)/2</f>
        <v>58.4</v>
      </c>
      <c r="N203" s="12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0">
        <v>23682.0</v>
      </c>
      <c r="B204" s="3">
        <v>61.8</v>
      </c>
      <c r="C204" s="3">
        <v>60.7</v>
      </c>
      <c r="D204" s="3">
        <v>62.1</v>
      </c>
      <c r="E204" s="3">
        <v>57.3</v>
      </c>
      <c r="F204" s="3">
        <v>70.3</v>
      </c>
      <c r="G204" s="3">
        <v>61.0</v>
      </c>
      <c r="H204" s="11"/>
      <c r="I204" s="3">
        <v>68.5</v>
      </c>
      <c r="J204" s="11"/>
      <c r="K204" s="11"/>
      <c r="L204" s="11"/>
      <c r="M204" s="12">
        <f>(PMI!$D204+PMI!$E204)/2</f>
        <v>59.7</v>
      </c>
      <c r="N204" s="12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0">
        <v>23712.0</v>
      </c>
      <c r="B205" s="3">
        <v>62.4</v>
      </c>
      <c r="C205" s="3">
        <v>64.4</v>
      </c>
      <c r="D205" s="3">
        <v>63.5</v>
      </c>
      <c r="E205" s="3">
        <v>55.2</v>
      </c>
      <c r="F205" s="3">
        <v>67.8</v>
      </c>
      <c r="G205" s="3">
        <v>59.5</v>
      </c>
      <c r="H205" s="11"/>
      <c r="I205" s="3">
        <v>69.6</v>
      </c>
      <c r="J205" s="11"/>
      <c r="K205" s="11"/>
      <c r="L205" s="11"/>
      <c r="M205" s="12">
        <f>(PMI!$D205+PMI!$E205)/2</f>
        <v>59.35</v>
      </c>
      <c r="N205" s="12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0">
        <v>23743.0</v>
      </c>
      <c r="B206" s="3">
        <v>61.0</v>
      </c>
      <c r="C206" s="3">
        <v>62.3</v>
      </c>
      <c r="D206" s="3">
        <v>58.2</v>
      </c>
      <c r="E206" s="3">
        <v>56.7</v>
      </c>
      <c r="F206" s="3">
        <v>68.5</v>
      </c>
      <c r="G206" s="3">
        <v>61.4</v>
      </c>
      <c r="H206" s="11"/>
      <c r="I206" s="3">
        <v>70.7</v>
      </c>
      <c r="J206" s="11"/>
      <c r="K206" s="11"/>
      <c r="L206" s="11"/>
      <c r="M206" s="12">
        <f>(PMI!$D206+PMI!$E206)/2</f>
        <v>57.45</v>
      </c>
      <c r="N206" s="12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0">
        <v>23774.0</v>
      </c>
      <c r="B207" s="3">
        <v>62.1</v>
      </c>
      <c r="C207" s="3">
        <v>63.2</v>
      </c>
      <c r="D207" s="3">
        <v>59.8</v>
      </c>
      <c r="E207" s="3">
        <v>58.3</v>
      </c>
      <c r="F207" s="3">
        <v>68.1</v>
      </c>
      <c r="G207" s="3">
        <v>63.2</v>
      </c>
      <c r="H207" s="11"/>
      <c r="I207" s="3">
        <v>64.8</v>
      </c>
      <c r="J207" s="11"/>
      <c r="K207" s="11"/>
      <c r="L207" s="11"/>
      <c r="M207" s="12">
        <f>(PMI!$D207+PMI!$E207)/2</f>
        <v>59.05</v>
      </c>
      <c r="N207" s="12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0">
        <v>23802.0</v>
      </c>
      <c r="B208" s="3">
        <v>64.9</v>
      </c>
      <c r="C208" s="3">
        <v>68.7</v>
      </c>
      <c r="D208" s="3">
        <v>65.7</v>
      </c>
      <c r="E208" s="3">
        <v>61.2</v>
      </c>
      <c r="F208" s="3">
        <v>65.9</v>
      </c>
      <c r="G208" s="3">
        <v>57.8</v>
      </c>
      <c r="H208" s="11"/>
      <c r="I208" s="3">
        <v>64.5</v>
      </c>
      <c r="J208" s="11"/>
      <c r="K208" s="11"/>
      <c r="L208" s="11"/>
      <c r="M208" s="12">
        <f>(PMI!$D208+PMI!$E208)/2</f>
        <v>63.45</v>
      </c>
      <c r="N208" s="12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0">
        <v>23833.0</v>
      </c>
      <c r="B209" s="3">
        <v>62.0</v>
      </c>
      <c r="C209" s="3">
        <v>59.8</v>
      </c>
      <c r="D209" s="3">
        <v>62.6</v>
      </c>
      <c r="E209" s="3">
        <v>59.2</v>
      </c>
      <c r="F209" s="3">
        <v>69.4</v>
      </c>
      <c r="G209" s="3">
        <v>61.9</v>
      </c>
      <c r="H209" s="11"/>
      <c r="I209" s="3">
        <v>68.7</v>
      </c>
      <c r="J209" s="11"/>
      <c r="K209" s="11"/>
      <c r="L209" s="11"/>
      <c r="M209" s="12">
        <f>(PMI!$D209+PMI!$E209)/2</f>
        <v>60.9</v>
      </c>
      <c r="N209" s="12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0">
        <v>23863.0</v>
      </c>
      <c r="B210" s="3">
        <v>61.3</v>
      </c>
      <c r="C210" s="3">
        <v>60.2</v>
      </c>
      <c r="D210" s="3">
        <v>62.4</v>
      </c>
      <c r="E210" s="3">
        <v>56.4</v>
      </c>
      <c r="F210" s="3">
        <v>68.9</v>
      </c>
      <c r="G210" s="3">
        <v>60.6</v>
      </c>
      <c r="H210" s="11"/>
      <c r="I210" s="3">
        <v>70.0</v>
      </c>
      <c r="J210" s="11"/>
      <c r="K210" s="11"/>
      <c r="L210" s="11"/>
      <c r="M210" s="12">
        <f>(PMI!$D210+PMI!$E210)/2</f>
        <v>59.4</v>
      </c>
      <c r="N210" s="12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0">
        <v>23894.0</v>
      </c>
      <c r="B211" s="3">
        <v>58.7</v>
      </c>
      <c r="C211" s="3">
        <v>57.4</v>
      </c>
      <c r="D211" s="3">
        <v>57.5</v>
      </c>
      <c r="E211" s="3">
        <v>55.4</v>
      </c>
      <c r="F211" s="3">
        <v>69.3</v>
      </c>
      <c r="G211" s="3">
        <v>55.8</v>
      </c>
      <c r="H211" s="11"/>
      <c r="I211" s="3">
        <v>73.2</v>
      </c>
      <c r="J211" s="11"/>
      <c r="K211" s="11"/>
      <c r="L211" s="11"/>
      <c r="M211" s="12">
        <f>(PMI!$D211+PMI!$E211)/2</f>
        <v>56.45</v>
      </c>
      <c r="N211" s="12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0">
        <v>23924.0</v>
      </c>
      <c r="B212" s="3">
        <v>58.1</v>
      </c>
      <c r="C212" s="3">
        <v>56.6</v>
      </c>
      <c r="D212" s="3">
        <v>59.0</v>
      </c>
      <c r="E212" s="3">
        <v>56.2</v>
      </c>
      <c r="F212" s="3">
        <v>65.1</v>
      </c>
      <c r="G212" s="3">
        <v>53.8</v>
      </c>
      <c r="H212" s="11"/>
      <c r="I212" s="3">
        <v>71.8</v>
      </c>
      <c r="J212" s="11"/>
      <c r="K212" s="11"/>
      <c r="L212" s="11"/>
      <c r="M212" s="12">
        <f>(PMI!$D212+PMI!$E212)/2</f>
        <v>57.6</v>
      </c>
      <c r="N212" s="12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0">
        <v>23955.0</v>
      </c>
      <c r="B213" s="3">
        <v>58.1</v>
      </c>
      <c r="C213" s="3">
        <v>56.0</v>
      </c>
      <c r="D213" s="3">
        <v>56.6</v>
      </c>
      <c r="E213" s="3">
        <v>58.0</v>
      </c>
      <c r="F213" s="3">
        <v>65.4</v>
      </c>
      <c r="G213" s="3">
        <v>57.2</v>
      </c>
      <c r="H213" s="11"/>
      <c r="I213" s="3">
        <v>70.5</v>
      </c>
      <c r="J213" s="11"/>
      <c r="K213" s="11"/>
      <c r="L213" s="11"/>
      <c r="M213" s="12">
        <f>(PMI!$D213+PMI!$E213)/2</f>
        <v>57.3</v>
      </c>
      <c r="N213" s="12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0">
        <v>23986.0</v>
      </c>
      <c r="B214" s="3">
        <v>61.0</v>
      </c>
      <c r="C214" s="3">
        <v>63.6</v>
      </c>
      <c r="D214" s="3">
        <v>63.8</v>
      </c>
      <c r="E214" s="3">
        <v>56.2</v>
      </c>
      <c r="F214" s="3">
        <v>61.2</v>
      </c>
      <c r="G214" s="3">
        <v>55.7</v>
      </c>
      <c r="H214" s="11"/>
      <c r="I214" s="3">
        <v>66.3</v>
      </c>
      <c r="J214" s="11"/>
      <c r="K214" s="11"/>
      <c r="L214" s="11"/>
      <c r="M214" s="12">
        <f>(PMI!$D214+PMI!$E214)/2</f>
        <v>60</v>
      </c>
      <c r="N214" s="12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0">
        <v>24016.0</v>
      </c>
      <c r="B215" s="3">
        <v>58.6</v>
      </c>
      <c r="C215" s="3">
        <v>62.0</v>
      </c>
      <c r="D215" s="3">
        <v>60.5</v>
      </c>
      <c r="E215" s="3">
        <v>56.9</v>
      </c>
      <c r="F215" s="3">
        <v>59.1</v>
      </c>
      <c r="G215" s="3">
        <v>46.5</v>
      </c>
      <c r="H215" s="11"/>
      <c r="I215" s="3">
        <v>68.6</v>
      </c>
      <c r="J215" s="11"/>
      <c r="K215" s="11"/>
      <c r="L215" s="11"/>
      <c r="M215" s="12">
        <f>(PMI!$D215+PMI!$E215)/2</f>
        <v>58.7</v>
      </c>
      <c r="N215" s="12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0">
        <v>24047.0</v>
      </c>
      <c r="B216" s="3">
        <v>59.4</v>
      </c>
      <c r="C216" s="3">
        <v>61.9</v>
      </c>
      <c r="D216" s="3">
        <v>60.9</v>
      </c>
      <c r="E216" s="3">
        <v>54.7</v>
      </c>
      <c r="F216" s="3">
        <v>65.1</v>
      </c>
      <c r="G216" s="3">
        <v>48.7</v>
      </c>
      <c r="H216" s="11"/>
      <c r="I216" s="3">
        <v>70.6</v>
      </c>
      <c r="J216" s="11"/>
      <c r="K216" s="11"/>
      <c r="L216" s="11"/>
      <c r="M216" s="12">
        <f>(PMI!$D216+PMI!$E216)/2</f>
        <v>57.8</v>
      </c>
      <c r="N216" s="12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0">
        <v>24077.0</v>
      </c>
      <c r="B217" s="3">
        <v>62.8</v>
      </c>
      <c r="C217" s="3">
        <v>62.9</v>
      </c>
      <c r="D217" s="3">
        <v>64.4</v>
      </c>
      <c r="E217" s="3">
        <v>60.2</v>
      </c>
      <c r="F217" s="3">
        <v>73.5</v>
      </c>
      <c r="G217" s="3">
        <v>47.4</v>
      </c>
      <c r="H217" s="11"/>
      <c r="I217" s="3">
        <v>67.0</v>
      </c>
      <c r="J217" s="11"/>
      <c r="K217" s="11"/>
      <c r="L217" s="11"/>
      <c r="M217" s="12">
        <f>(PMI!$D217+PMI!$E217)/2</f>
        <v>62.3</v>
      </c>
      <c r="N217" s="12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10">
        <v>24108.0</v>
      </c>
      <c r="B218" s="3">
        <v>65.8</v>
      </c>
      <c r="C218" s="3">
        <v>66.5</v>
      </c>
      <c r="D218" s="3">
        <v>68.4</v>
      </c>
      <c r="E218" s="3">
        <v>62.6</v>
      </c>
      <c r="F218" s="3">
        <v>74.9</v>
      </c>
      <c r="G218" s="3">
        <v>49.7</v>
      </c>
      <c r="H218" s="11"/>
      <c r="I218" s="3">
        <v>75.9</v>
      </c>
      <c r="J218" s="11"/>
      <c r="K218" s="11"/>
      <c r="L218" s="11"/>
      <c r="M218" s="12">
        <f>(PMI!$D218+PMI!$E218)/2</f>
        <v>65.5</v>
      </c>
      <c r="N218" s="12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10">
        <v>24139.0</v>
      </c>
      <c r="B219" s="3">
        <v>65.5</v>
      </c>
      <c r="C219" s="3">
        <v>66.1</v>
      </c>
      <c r="D219" s="3">
        <v>66.1</v>
      </c>
      <c r="E219" s="3">
        <v>61.2</v>
      </c>
      <c r="F219" s="3">
        <v>80.1</v>
      </c>
      <c r="G219" s="3">
        <v>48.7</v>
      </c>
      <c r="H219" s="11"/>
      <c r="I219" s="3">
        <v>80.9</v>
      </c>
      <c r="J219" s="11"/>
      <c r="K219" s="11"/>
      <c r="L219" s="11"/>
      <c r="M219" s="12">
        <f>(PMI!$D219+PMI!$E219)/2</f>
        <v>63.65</v>
      </c>
      <c r="N219" s="12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10">
        <v>24167.0</v>
      </c>
      <c r="B220" s="3">
        <v>65.7</v>
      </c>
      <c r="C220" s="3">
        <v>64.3</v>
      </c>
      <c r="D220" s="3">
        <v>63.8</v>
      </c>
      <c r="E220" s="3">
        <v>61.5</v>
      </c>
      <c r="F220" s="3">
        <v>86.4</v>
      </c>
      <c r="G220" s="3">
        <v>52.3</v>
      </c>
      <c r="H220" s="11"/>
      <c r="I220" s="3">
        <v>85.7</v>
      </c>
      <c r="J220" s="11"/>
      <c r="K220" s="11"/>
      <c r="L220" s="11"/>
      <c r="M220" s="12">
        <f>(PMI!$D220+PMI!$E220)/2</f>
        <v>62.65</v>
      </c>
      <c r="N220" s="12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10">
        <v>24198.0</v>
      </c>
      <c r="B221" s="3">
        <v>64.2</v>
      </c>
      <c r="C221" s="3">
        <v>64.3</v>
      </c>
      <c r="D221" s="3">
        <v>63.1</v>
      </c>
      <c r="E221" s="3">
        <v>59.9</v>
      </c>
      <c r="F221" s="3">
        <v>79.3</v>
      </c>
      <c r="G221" s="3">
        <v>53.0</v>
      </c>
      <c r="H221" s="11"/>
      <c r="I221" s="3">
        <v>83.9</v>
      </c>
      <c r="J221" s="11"/>
      <c r="K221" s="11"/>
      <c r="L221" s="11"/>
      <c r="M221" s="12">
        <f>(PMI!$D221+PMI!$E221)/2</f>
        <v>61.5</v>
      </c>
      <c r="N221" s="12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10">
        <v>24228.0</v>
      </c>
      <c r="B222" s="3">
        <v>57.7</v>
      </c>
      <c r="C222" s="3">
        <v>52.7</v>
      </c>
      <c r="D222" s="3">
        <v>55.5</v>
      </c>
      <c r="E222" s="3">
        <v>57.0</v>
      </c>
      <c r="F222" s="3">
        <v>74.6</v>
      </c>
      <c r="G222" s="3">
        <v>53.8</v>
      </c>
      <c r="H222" s="11"/>
      <c r="I222" s="3">
        <v>83.3</v>
      </c>
      <c r="J222" s="11"/>
      <c r="K222" s="11"/>
      <c r="L222" s="11"/>
      <c r="M222" s="12">
        <f>(PMI!$D222+PMI!$E222)/2</f>
        <v>56.25</v>
      </c>
      <c r="N222" s="12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10">
        <v>24259.0</v>
      </c>
      <c r="B223" s="3">
        <v>59.0</v>
      </c>
      <c r="C223" s="3">
        <v>55.9</v>
      </c>
      <c r="D223" s="3">
        <v>57.6</v>
      </c>
      <c r="E223" s="3">
        <v>58.8</v>
      </c>
      <c r="F223" s="3">
        <v>71.6</v>
      </c>
      <c r="G223" s="3">
        <v>53.3</v>
      </c>
      <c r="H223" s="11"/>
      <c r="I223" s="3">
        <v>81.5</v>
      </c>
      <c r="J223" s="11"/>
      <c r="K223" s="11"/>
      <c r="L223" s="11"/>
      <c r="M223" s="12">
        <f>(PMI!$D223+PMI!$E223)/2</f>
        <v>58.2</v>
      </c>
      <c r="N223" s="12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10">
        <v>24289.0</v>
      </c>
      <c r="B224" s="3">
        <v>60.3</v>
      </c>
      <c r="C224" s="3">
        <v>56.3</v>
      </c>
      <c r="D224" s="3">
        <v>59.3</v>
      </c>
      <c r="E224" s="3">
        <v>58.9</v>
      </c>
      <c r="F224" s="3">
        <v>73.1</v>
      </c>
      <c r="G224" s="3">
        <v>57.9</v>
      </c>
      <c r="H224" s="11"/>
      <c r="I224" s="3">
        <v>79.7</v>
      </c>
      <c r="J224" s="11"/>
      <c r="K224" s="11"/>
      <c r="L224" s="11"/>
      <c r="M224" s="12">
        <f>(PMI!$D224+PMI!$E224)/2</f>
        <v>59.1</v>
      </c>
      <c r="N224" s="12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10">
        <v>24320.0</v>
      </c>
      <c r="B225" s="3">
        <v>58.5</v>
      </c>
      <c r="C225" s="3">
        <v>53.3</v>
      </c>
      <c r="D225" s="3">
        <v>57.7</v>
      </c>
      <c r="E225" s="3">
        <v>56.4</v>
      </c>
      <c r="F225" s="3">
        <v>74.3</v>
      </c>
      <c r="G225" s="3">
        <v>57.0</v>
      </c>
      <c r="H225" s="11"/>
      <c r="I225" s="3">
        <v>79.5</v>
      </c>
      <c r="J225" s="11"/>
      <c r="K225" s="11"/>
      <c r="L225" s="11"/>
      <c r="M225" s="12">
        <f>(PMI!$D225+PMI!$E225)/2</f>
        <v>57.05</v>
      </c>
      <c r="N225" s="12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10">
        <v>24351.0</v>
      </c>
      <c r="B226" s="3">
        <v>58.7</v>
      </c>
      <c r="C226" s="3">
        <v>55.2</v>
      </c>
      <c r="D226" s="3">
        <v>57.9</v>
      </c>
      <c r="E226" s="3">
        <v>56.5</v>
      </c>
      <c r="F226" s="3">
        <v>72.4</v>
      </c>
      <c r="G226" s="3">
        <v>54.8</v>
      </c>
      <c r="H226" s="11"/>
      <c r="I226" s="3">
        <v>73.7</v>
      </c>
      <c r="J226" s="11"/>
      <c r="K226" s="11"/>
      <c r="L226" s="11"/>
      <c r="M226" s="12">
        <f>(PMI!$D226+PMI!$E226)/2</f>
        <v>57.2</v>
      </c>
      <c r="N226" s="12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10">
        <v>24381.0</v>
      </c>
      <c r="B227" s="3">
        <v>57.2</v>
      </c>
      <c r="C227" s="3">
        <v>51.6</v>
      </c>
      <c r="D227" s="3">
        <v>57.0</v>
      </c>
      <c r="E227" s="3">
        <v>56.9</v>
      </c>
      <c r="F227" s="3">
        <v>68.7</v>
      </c>
      <c r="G227" s="3">
        <v>58.2</v>
      </c>
      <c r="H227" s="11"/>
      <c r="I227" s="3">
        <v>70.3</v>
      </c>
      <c r="J227" s="11"/>
      <c r="K227" s="11"/>
      <c r="L227" s="11"/>
      <c r="M227" s="12">
        <f>(PMI!$D227+PMI!$E227)/2</f>
        <v>56.95</v>
      </c>
      <c r="N227" s="12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10">
        <v>24412.0</v>
      </c>
      <c r="B228" s="3">
        <v>53.7</v>
      </c>
      <c r="C228" s="3">
        <v>46.8</v>
      </c>
      <c r="D228" s="3">
        <v>54.2</v>
      </c>
      <c r="E228" s="3">
        <v>55.6</v>
      </c>
      <c r="F228" s="3">
        <v>62.6</v>
      </c>
      <c r="G228" s="3">
        <v>55.6</v>
      </c>
      <c r="H228" s="11"/>
      <c r="I228" s="3">
        <v>71.9</v>
      </c>
      <c r="J228" s="11"/>
      <c r="K228" s="11"/>
      <c r="L228" s="11"/>
      <c r="M228" s="12">
        <f>(PMI!$D228+PMI!$E228)/2</f>
        <v>54.9</v>
      </c>
      <c r="N228" s="12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10">
        <v>24442.0</v>
      </c>
      <c r="B229" s="3">
        <v>52.4</v>
      </c>
      <c r="C229" s="3">
        <v>48.8</v>
      </c>
      <c r="D229" s="3">
        <v>54.1</v>
      </c>
      <c r="E229" s="3">
        <v>50.7</v>
      </c>
      <c r="F229" s="3">
        <v>57.9</v>
      </c>
      <c r="G229" s="3">
        <v>53.7</v>
      </c>
      <c r="H229" s="11"/>
      <c r="I229" s="3">
        <v>67.6</v>
      </c>
      <c r="J229" s="11"/>
      <c r="K229" s="11"/>
      <c r="L229" s="11"/>
      <c r="M229" s="12">
        <f>(PMI!$D229+PMI!$E229)/2</f>
        <v>52.4</v>
      </c>
      <c r="N229" s="12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10">
        <v>24473.0</v>
      </c>
      <c r="B230" s="3">
        <v>49.1</v>
      </c>
      <c r="C230" s="3">
        <v>46.2</v>
      </c>
      <c r="D230" s="3">
        <v>54.1</v>
      </c>
      <c r="E230" s="3">
        <v>48.3</v>
      </c>
      <c r="F230" s="3">
        <v>48.2</v>
      </c>
      <c r="G230" s="3">
        <v>48.2</v>
      </c>
      <c r="H230" s="11"/>
      <c r="I230" s="3">
        <v>72.9</v>
      </c>
      <c r="J230" s="11"/>
      <c r="K230" s="11"/>
      <c r="L230" s="11"/>
      <c r="M230" s="12">
        <f>(PMI!$D230+PMI!$E230)/2</f>
        <v>51.2</v>
      </c>
      <c r="N230" s="12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10">
        <v>24504.0</v>
      </c>
      <c r="B231" s="3">
        <v>47.6</v>
      </c>
      <c r="C231" s="3">
        <v>45.1</v>
      </c>
      <c r="D231" s="3">
        <v>50.4</v>
      </c>
      <c r="E231" s="3">
        <v>47.6</v>
      </c>
      <c r="F231" s="3">
        <v>49.9</v>
      </c>
      <c r="G231" s="3">
        <v>45.3</v>
      </c>
      <c r="H231" s="11"/>
      <c r="I231" s="3">
        <v>61.8</v>
      </c>
      <c r="J231" s="11"/>
      <c r="K231" s="11"/>
      <c r="L231" s="11"/>
      <c r="M231" s="12">
        <f>(PMI!$D231+PMI!$E231)/2</f>
        <v>49</v>
      </c>
      <c r="N231" s="12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10">
        <v>24532.0</v>
      </c>
      <c r="B232" s="3">
        <v>45.3</v>
      </c>
      <c r="C232" s="3">
        <v>45.3</v>
      </c>
      <c r="D232" s="3">
        <v>48.7</v>
      </c>
      <c r="E232" s="3">
        <v>46.3</v>
      </c>
      <c r="F232" s="3">
        <v>38.0</v>
      </c>
      <c r="G232" s="3">
        <v>45.6</v>
      </c>
      <c r="H232" s="11"/>
      <c r="I232" s="3">
        <v>54.0</v>
      </c>
      <c r="J232" s="11"/>
      <c r="K232" s="11"/>
      <c r="L232" s="11"/>
      <c r="M232" s="12">
        <f>(PMI!$D232+PMI!$E232)/2</f>
        <v>47.5</v>
      </c>
      <c r="N232" s="12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10">
        <v>24563.0</v>
      </c>
      <c r="B233" s="3">
        <v>42.8</v>
      </c>
      <c r="C233" s="3">
        <v>46.4</v>
      </c>
      <c r="D233" s="3">
        <v>44.3</v>
      </c>
      <c r="E233" s="3">
        <v>41.8</v>
      </c>
      <c r="F233" s="3">
        <v>36.9</v>
      </c>
      <c r="G233" s="3">
        <v>39.4</v>
      </c>
      <c r="H233" s="11"/>
      <c r="I233" s="3">
        <v>56.3</v>
      </c>
      <c r="J233" s="11"/>
      <c r="K233" s="11"/>
      <c r="L233" s="11"/>
      <c r="M233" s="12">
        <f>(PMI!$D233+PMI!$E233)/2</f>
        <v>43.05</v>
      </c>
      <c r="N233" s="12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10">
        <v>24593.0</v>
      </c>
      <c r="B234" s="3">
        <v>44.5</v>
      </c>
      <c r="C234" s="3">
        <v>47.6</v>
      </c>
      <c r="D234" s="3">
        <v>48.0</v>
      </c>
      <c r="E234" s="3">
        <v>45.5</v>
      </c>
      <c r="F234" s="3">
        <v>34.4</v>
      </c>
      <c r="G234" s="3">
        <v>39.7</v>
      </c>
      <c r="H234" s="11"/>
      <c r="I234" s="3">
        <v>56.1</v>
      </c>
      <c r="J234" s="11"/>
      <c r="K234" s="11"/>
      <c r="L234" s="11"/>
      <c r="M234" s="12">
        <f>(PMI!$D234+PMI!$E234)/2</f>
        <v>46.75</v>
      </c>
      <c r="N234" s="12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10">
        <v>24624.0</v>
      </c>
      <c r="B235" s="3">
        <v>46.8</v>
      </c>
      <c r="C235" s="3">
        <v>51.8</v>
      </c>
      <c r="D235" s="3">
        <v>50.7</v>
      </c>
      <c r="E235" s="3">
        <v>45.8</v>
      </c>
      <c r="F235" s="3">
        <v>36.5</v>
      </c>
      <c r="G235" s="3">
        <v>39.6</v>
      </c>
      <c r="H235" s="11"/>
      <c r="I235" s="3">
        <v>58.4</v>
      </c>
      <c r="J235" s="11"/>
      <c r="K235" s="11"/>
      <c r="L235" s="11"/>
      <c r="M235" s="12">
        <f>(PMI!$D235+PMI!$E235)/2</f>
        <v>48.25</v>
      </c>
      <c r="N235" s="12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10">
        <v>24654.0</v>
      </c>
      <c r="B236" s="3">
        <v>49.5</v>
      </c>
      <c r="C236" s="3">
        <v>53.7</v>
      </c>
      <c r="D236" s="3">
        <v>53.4</v>
      </c>
      <c r="E236" s="3">
        <v>50.2</v>
      </c>
      <c r="F236" s="3">
        <v>40.9</v>
      </c>
      <c r="G236" s="3">
        <v>38.1</v>
      </c>
      <c r="H236" s="11"/>
      <c r="I236" s="3">
        <v>63.9</v>
      </c>
      <c r="J236" s="11"/>
      <c r="K236" s="11"/>
      <c r="L236" s="11"/>
      <c r="M236" s="12">
        <f>(PMI!$D236+PMI!$E236)/2</f>
        <v>51.8</v>
      </c>
      <c r="N236" s="12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10">
        <v>24685.0</v>
      </c>
      <c r="B237" s="3">
        <v>52.2</v>
      </c>
      <c r="C237" s="3">
        <v>55.4</v>
      </c>
      <c r="D237" s="3">
        <v>56.4</v>
      </c>
      <c r="E237" s="3">
        <v>52.9</v>
      </c>
      <c r="F237" s="3">
        <v>44.8</v>
      </c>
      <c r="G237" s="3">
        <v>41.7</v>
      </c>
      <c r="H237" s="11"/>
      <c r="I237" s="3">
        <v>67.5</v>
      </c>
      <c r="J237" s="11"/>
      <c r="K237" s="11"/>
      <c r="L237" s="11"/>
      <c r="M237" s="12">
        <f>(PMI!$D237+PMI!$E237)/2</f>
        <v>54.65</v>
      </c>
      <c r="N237" s="12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10">
        <v>24716.0</v>
      </c>
      <c r="B238" s="3">
        <v>54.9</v>
      </c>
      <c r="C238" s="3">
        <v>62.0</v>
      </c>
      <c r="D238" s="3">
        <v>57.4</v>
      </c>
      <c r="E238" s="3">
        <v>51.6</v>
      </c>
      <c r="F238" s="3">
        <v>46.5</v>
      </c>
      <c r="G238" s="3">
        <v>46.8</v>
      </c>
      <c r="H238" s="11"/>
      <c r="I238" s="3">
        <v>75.2</v>
      </c>
      <c r="J238" s="11"/>
      <c r="K238" s="11"/>
      <c r="L238" s="11"/>
      <c r="M238" s="12">
        <f>(PMI!$D238+PMI!$E238)/2</f>
        <v>54.5</v>
      </c>
      <c r="N238" s="12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10">
        <v>24746.0</v>
      </c>
      <c r="B239" s="3">
        <v>54.1</v>
      </c>
      <c r="C239" s="3">
        <v>55.8</v>
      </c>
      <c r="D239" s="3">
        <v>57.7</v>
      </c>
      <c r="E239" s="3">
        <v>52.4</v>
      </c>
      <c r="F239" s="3">
        <v>51.1</v>
      </c>
      <c r="G239" s="3">
        <v>48.0</v>
      </c>
      <c r="H239" s="11"/>
      <c r="I239" s="3">
        <v>78.7</v>
      </c>
      <c r="J239" s="11"/>
      <c r="K239" s="11"/>
      <c r="L239" s="11"/>
      <c r="M239" s="12">
        <f>(PMI!$D239+PMI!$E239)/2</f>
        <v>55.05</v>
      </c>
      <c r="N239" s="12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10">
        <v>24777.0</v>
      </c>
      <c r="B240" s="3">
        <v>54.2</v>
      </c>
      <c r="C240" s="3">
        <v>57.0</v>
      </c>
      <c r="D240" s="3">
        <v>58.6</v>
      </c>
      <c r="E240" s="3">
        <v>51.5</v>
      </c>
      <c r="F240" s="3">
        <v>51.4</v>
      </c>
      <c r="G240" s="3">
        <v>44.4</v>
      </c>
      <c r="H240" s="11"/>
      <c r="I240" s="3">
        <v>83.8</v>
      </c>
      <c r="J240" s="11"/>
      <c r="K240" s="11"/>
      <c r="L240" s="11"/>
      <c r="M240" s="12">
        <f>(PMI!$D240+PMI!$E240)/2</f>
        <v>55.05</v>
      </c>
      <c r="N240" s="12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10">
        <v>24807.0</v>
      </c>
      <c r="B241" s="3">
        <v>55.6</v>
      </c>
      <c r="C241" s="3">
        <v>59.4</v>
      </c>
      <c r="D241" s="3">
        <v>58.7</v>
      </c>
      <c r="E241" s="3">
        <v>51.5</v>
      </c>
      <c r="F241" s="3">
        <v>49.9</v>
      </c>
      <c r="G241" s="3">
        <v>53.8</v>
      </c>
      <c r="H241" s="11"/>
      <c r="I241" s="3">
        <v>79.6</v>
      </c>
      <c r="J241" s="11"/>
      <c r="K241" s="11"/>
      <c r="L241" s="11"/>
      <c r="M241" s="12">
        <f>(PMI!$D241+PMI!$E241)/2</f>
        <v>55.1</v>
      </c>
      <c r="N241" s="12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10">
        <v>24838.0</v>
      </c>
      <c r="B242" s="3">
        <v>56.6</v>
      </c>
      <c r="C242" s="3">
        <v>60.1</v>
      </c>
      <c r="D242" s="3">
        <v>59.3</v>
      </c>
      <c r="E242" s="3">
        <v>53.2</v>
      </c>
      <c r="F242" s="3">
        <v>50.6</v>
      </c>
      <c r="G242" s="3">
        <v>54.8</v>
      </c>
      <c r="H242" s="11"/>
      <c r="I242" s="3">
        <v>78.0</v>
      </c>
      <c r="J242" s="11"/>
      <c r="K242" s="11"/>
      <c r="L242" s="11"/>
      <c r="M242" s="12">
        <f>(PMI!$D242+PMI!$E242)/2</f>
        <v>56.25</v>
      </c>
      <c r="N242" s="12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10">
        <v>24869.0</v>
      </c>
      <c r="B243" s="3">
        <v>55.0</v>
      </c>
      <c r="C243" s="3">
        <v>56.6</v>
      </c>
      <c r="D243" s="3">
        <v>58.1</v>
      </c>
      <c r="E243" s="3">
        <v>50.3</v>
      </c>
      <c r="F243" s="3">
        <v>53.9</v>
      </c>
      <c r="G243" s="3">
        <v>53.7</v>
      </c>
      <c r="H243" s="11"/>
      <c r="I243" s="3">
        <v>76.3</v>
      </c>
      <c r="J243" s="11"/>
      <c r="K243" s="11"/>
      <c r="L243" s="11"/>
      <c r="M243" s="12">
        <f>(PMI!$D243+PMI!$E243)/2</f>
        <v>54.2</v>
      </c>
      <c r="N243" s="12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10">
        <v>24898.0</v>
      </c>
      <c r="B244" s="3">
        <v>53.8</v>
      </c>
      <c r="C244" s="3">
        <v>55.7</v>
      </c>
      <c r="D244" s="3">
        <v>55.8</v>
      </c>
      <c r="E244" s="3">
        <v>50.1</v>
      </c>
      <c r="F244" s="3">
        <v>54.0</v>
      </c>
      <c r="G244" s="3">
        <v>50.7</v>
      </c>
      <c r="H244" s="11"/>
      <c r="I244" s="3">
        <v>76.1</v>
      </c>
      <c r="J244" s="11"/>
      <c r="K244" s="11"/>
      <c r="L244" s="11"/>
      <c r="M244" s="12">
        <f>(PMI!$D244+PMI!$E244)/2</f>
        <v>52.95</v>
      </c>
      <c r="N244" s="12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10">
        <v>24929.0</v>
      </c>
      <c r="B245" s="3">
        <v>58.0</v>
      </c>
      <c r="C245" s="3">
        <v>64.5</v>
      </c>
      <c r="D245" s="3">
        <v>60.1</v>
      </c>
      <c r="E245" s="3">
        <v>53.5</v>
      </c>
      <c r="F245" s="3">
        <v>49.0</v>
      </c>
      <c r="G245" s="3">
        <v>54.9</v>
      </c>
      <c r="H245" s="11"/>
      <c r="I245" s="3">
        <v>71.5</v>
      </c>
      <c r="J245" s="11"/>
      <c r="K245" s="11"/>
      <c r="L245" s="11"/>
      <c r="M245" s="12">
        <f>(PMI!$D245+PMI!$E245)/2</f>
        <v>56.8</v>
      </c>
      <c r="N245" s="12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10">
        <v>24959.0</v>
      </c>
      <c r="B246" s="3">
        <v>55.3</v>
      </c>
      <c r="C246" s="3">
        <v>56.2</v>
      </c>
      <c r="D246" s="3">
        <v>60.0</v>
      </c>
      <c r="E246" s="3">
        <v>53.1</v>
      </c>
      <c r="F246" s="3">
        <v>49.4</v>
      </c>
      <c r="G246" s="3">
        <v>54.0</v>
      </c>
      <c r="H246" s="11"/>
      <c r="I246" s="3">
        <v>69.2</v>
      </c>
      <c r="J246" s="11"/>
      <c r="K246" s="11"/>
      <c r="L246" s="11"/>
      <c r="M246" s="12">
        <f>(PMI!$D246+PMI!$E246)/2</f>
        <v>56.55</v>
      </c>
      <c r="N246" s="12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10">
        <v>24990.0</v>
      </c>
      <c r="B247" s="3">
        <v>53.5</v>
      </c>
      <c r="C247" s="3">
        <v>54.3</v>
      </c>
      <c r="D247" s="3">
        <v>54.9</v>
      </c>
      <c r="E247" s="3">
        <v>52.6</v>
      </c>
      <c r="F247" s="3">
        <v>49.9</v>
      </c>
      <c r="G247" s="3">
        <v>55.0</v>
      </c>
      <c r="H247" s="11"/>
      <c r="I247" s="3">
        <v>70.4</v>
      </c>
      <c r="J247" s="11"/>
      <c r="K247" s="11"/>
      <c r="L247" s="11"/>
      <c r="M247" s="12">
        <f>(PMI!$D247+PMI!$E247)/2</f>
        <v>53.75</v>
      </c>
      <c r="N247" s="12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10">
        <v>25020.0</v>
      </c>
      <c r="B248" s="3">
        <v>54.1</v>
      </c>
      <c r="C248" s="3">
        <v>54.5</v>
      </c>
      <c r="D248" s="3">
        <v>56.5</v>
      </c>
      <c r="E248" s="3">
        <v>48.2</v>
      </c>
      <c r="F248" s="3">
        <v>55.9</v>
      </c>
      <c r="G248" s="3">
        <v>55.8</v>
      </c>
      <c r="H248" s="11"/>
      <c r="I248" s="3">
        <v>67.1</v>
      </c>
      <c r="J248" s="11"/>
      <c r="K248" s="11"/>
      <c r="L248" s="11"/>
      <c r="M248" s="12">
        <f>(PMI!$D248+PMI!$E248)/2</f>
        <v>52.35</v>
      </c>
      <c r="N248" s="12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10">
        <v>25051.0</v>
      </c>
      <c r="B249" s="3">
        <v>52.7</v>
      </c>
      <c r="C249" s="3">
        <v>53.8</v>
      </c>
      <c r="D249" s="3">
        <v>56.1</v>
      </c>
      <c r="E249" s="3">
        <v>49.5</v>
      </c>
      <c r="F249" s="3">
        <v>47.8</v>
      </c>
      <c r="G249" s="3">
        <v>54.2</v>
      </c>
      <c r="H249" s="11"/>
      <c r="I249" s="3">
        <v>74.3</v>
      </c>
      <c r="J249" s="11"/>
      <c r="K249" s="11"/>
      <c r="L249" s="11"/>
      <c r="M249" s="12">
        <f>(PMI!$D249+PMI!$E249)/2</f>
        <v>52.8</v>
      </c>
      <c r="N249" s="12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10">
        <v>25082.0</v>
      </c>
      <c r="B250" s="3">
        <v>51.8</v>
      </c>
      <c r="C250" s="3">
        <v>55.4</v>
      </c>
      <c r="D250" s="3">
        <v>57.0</v>
      </c>
      <c r="E250" s="3">
        <v>47.1</v>
      </c>
      <c r="F250" s="3">
        <v>48.4</v>
      </c>
      <c r="G250" s="3">
        <v>42.4</v>
      </c>
      <c r="H250" s="11"/>
      <c r="I250" s="3">
        <v>72.4</v>
      </c>
      <c r="J250" s="11"/>
      <c r="K250" s="11"/>
      <c r="L250" s="11"/>
      <c r="M250" s="12">
        <f>(PMI!$D250+PMI!$E250)/2</f>
        <v>52.05</v>
      </c>
      <c r="N250" s="12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10">
        <v>25112.0</v>
      </c>
      <c r="B251" s="3">
        <v>55.8</v>
      </c>
      <c r="C251" s="3">
        <v>58.5</v>
      </c>
      <c r="D251" s="3">
        <v>61.1</v>
      </c>
      <c r="E251" s="3">
        <v>52.6</v>
      </c>
      <c r="F251" s="3">
        <v>53.3</v>
      </c>
      <c r="G251" s="3">
        <v>44.3</v>
      </c>
      <c r="H251" s="11"/>
      <c r="I251" s="3">
        <v>70.8</v>
      </c>
      <c r="J251" s="11"/>
      <c r="K251" s="11"/>
      <c r="L251" s="11"/>
      <c r="M251" s="12">
        <f>(PMI!$D251+PMI!$E251)/2</f>
        <v>56.85</v>
      </c>
      <c r="N251" s="12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10">
        <v>25143.0</v>
      </c>
      <c r="B252" s="3">
        <v>58.1</v>
      </c>
      <c r="C252" s="3">
        <v>61.3</v>
      </c>
      <c r="D252" s="3">
        <v>59.8</v>
      </c>
      <c r="E252" s="3">
        <v>56.4</v>
      </c>
      <c r="F252" s="3">
        <v>61.0</v>
      </c>
      <c r="G252" s="3">
        <v>43.5</v>
      </c>
      <c r="H252" s="11"/>
      <c r="I252" s="3">
        <v>69.5</v>
      </c>
      <c r="J252" s="11"/>
      <c r="K252" s="11"/>
      <c r="L252" s="11"/>
      <c r="M252" s="12">
        <f>(PMI!$D252+PMI!$E252)/2</f>
        <v>58.1</v>
      </c>
      <c r="N252" s="12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10">
        <v>25173.0</v>
      </c>
      <c r="B253" s="3">
        <v>56.1</v>
      </c>
      <c r="C253" s="3">
        <v>56.7</v>
      </c>
      <c r="D253" s="3">
        <v>60.6</v>
      </c>
      <c r="E253" s="3">
        <v>52.8</v>
      </c>
      <c r="F253" s="3">
        <v>58.3</v>
      </c>
      <c r="G253" s="3">
        <v>46.3</v>
      </c>
      <c r="H253" s="11"/>
      <c r="I253" s="3">
        <v>76.8</v>
      </c>
      <c r="J253" s="11"/>
      <c r="K253" s="11"/>
      <c r="L253" s="11"/>
      <c r="M253" s="12">
        <f>(PMI!$D253+PMI!$E253)/2</f>
        <v>56.7</v>
      </c>
      <c r="N253" s="12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10">
        <v>25204.0</v>
      </c>
      <c r="B254" s="3">
        <v>54.9</v>
      </c>
      <c r="C254" s="3">
        <v>54.4</v>
      </c>
      <c r="D254" s="3">
        <v>57.1</v>
      </c>
      <c r="E254" s="3">
        <v>51.9</v>
      </c>
      <c r="F254" s="3">
        <v>63.6</v>
      </c>
      <c r="G254" s="3">
        <v>44.2</v>
      </c>
      <c r="H254" s="11"/>
      <c r="I254" s="3">
        <v>77.1</v>
      </c>
      <c r="J254" s="11"/>
      <c r="K254" s="11"/>
      <c r="L254" s="11"/>
      <c r="M254" s="12">
        <f>(PMI!$D254+PMI!$E254)/2</f>
        <v>54.5</v>
      </c>
      <c r="N254" s="12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10">
        <v>25235.0</v>
      </c>
      <c r="B255" s="3">
        <v>57.0</v>
      </c>
      <c r="C255" s="3">
        <v>57.9</v>
      </c>
      <c r="D255" s="3">
        <v>59.1</v>
      </c>
      <c r="E255" s="3">
        <v>56.1</v>
      </c>
      <c r="F255" s="3">
        <v>60.1</v>
      </c>
      <c r="G255" s="3">
        <v>46.3</v>
      </c>
      <c r="H255" s="11"/>
      <c r="I255" s="3">
        <v>79.6</v>
      </c>
      <c r="J255" s="11"/>
      <c r="K255" s="11"/>
      <c r="L255" s="11"/>
      <c r="M255" s="12">
        <f>(PMI!$D255+PMI!$E255)/2</f>
        <v>57.6</v>
      </c>
      <c r="N255" s="12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10">
        <v>25263.0</v>
      </c>
      <c r="B256" s="3">
        <v>57.1</v>
      </c>
      <c r="C256" s="3">
        <v>59.3</v>
      </c>
      <c r="D256" s="3">
        <v>58.8</v>
      </c>
      <c r="E256" s="3">
        <v>53.8</v>
      </c>
      <c r="F256" s="3">
        <v>60.5</v>
      </c>
      <c r="G256" s="3">
        <v>47.6</v>
      </c>
      <c r="H256" s="11"/>
      <c r="I256" s="3">
        <v>79.4</v>
      </c>
      <c r="J256" s="11"/>
      <c r="K256" s="11"/>
      <c r="L256" s="11"/>
      <c r="M256" s="12">
        <f>(PMI!$D256+PMI!$E256)/2</f>
        <v>56.3</v>
      </c>
      <c r="N256" s="12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10">
        <v>25294.0</v>
      </c>
      <c r="B257" s="3">
        <v>55.2</v>
      </c>
      <c r="C257" s="3">
        <v>54.4</v>
      </c>
      <c r="D257" s="3">
        <v>55.1</v>
      </c>
      <c r="E257" s="3">
        <v>52.7</v>
      </c>
      <c r="F257" s="3">
        <v>63.9</v>
      </c>
      <c r="G257" s="3">
        <v>49.2</v>
      </c>
      <c r="H257" s="11"/>
      <c r="I257" s="3">
        <v>78.8</v>
      </c>
      <c r="J257" s="11"/>
      <c r="K257" s="11"/>
      <c r="L257" s="11"/>
      <c r="M257" s="12">
        <f>(PMI!$D257+PMI!$E257)/2</f>
        <v>53.9</v>
      </c>
      <c r="N257" s="12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10">
        <v>25324.0</v>
      </c>
      <c r="B258" s="3">
        <v>56.7</v>
      </c>
      <c r="C258" s="3">
        <v>57.6</v>
      </c>
      <c r="D258" s="3">
        <v>56.3</v>
      </c>
      <c r="E258" s="3">
        <v>52.8</v>
      </c>
      <c r="F258" s="3">
        <v>64.9</v>
      </c>
      <c r="G258" s="3">
        <v>50.7</v>
      </c>
      <c r="H258" s="11"/>
      <c r="I258" s="3">
        <v>79.3</v>
      </c>
      <c r="J258" s="11"/>
      <c r="K258" s="11"/>
      <c r="L258" s="11"/>
      <c r="M258" s="12">
        <f>(PMI!$D258+PMI!$E258)/2</f>
        <v>54.55</v>
      </c>
      <c r="N258" s="12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10">
        <v>25355.0</v>
      </c>
      <c r="B259" s="3">
        <v>55.5</v>
      </c>
      <c r="C259" s="3">
        <v>52.7</v>
      </c>
      <c r="D259" s="3">
        <v>56.9</v>
      </c>
      <c r="E259" s="3">
        <v>53.1</v>
      </c>
      <c r="F259" s="3">
        <v>67.0</v>
      </c>
      <c r="G259" s="3">
        <v>47.8</v>
      </c>
      <c r="H259" s="11"/>
      <c r="I259" s="3">
        <v>80.9</v>
      </c>
      <c r="J259" s="11"/>
      <c r="K259" s="11"/>
      <c r="L259" s="11"/>
      <c r="M259" s="12">
        <f>(PMI!$D259+PMI!$E259)/2</f>
        <v>55</v>
      </c>
      <c r="N259" s="12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10">
        <v>25385.0</v>
      </c>
      <c r="B260" s="3">
        <v>53.1</v>
      </c>
      <c r="C260" s="3">
        <v>49.8</v>
      </c>
      <c r="D260" s="3">
        <v>51.2</v>
      </c>
      <c r="E260" s="3">
        <v>53.0</v>
      </c>
      <c r="F260" s="3">
        <v>65.7</v>
      </c>
      <c r="G260" s="3">
        <v>49.3</v>
      </c>
      <c r="H260" s="11"/>
      <c r="I260" s="3">
        <v>80.9</v>
      </c>
      <c r="J260" s="11"/>
      <c r="K260" s="11"/>
      <c r="L260" s="11"/>
      <c r="M260" s="12">
        <f>(PMI!$D260+PMI!$E260)/2</f>
        <v>52.1</v>
      </c>
      <c r="N260" s="12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10">
        <v>25416.0</v>
      </c>
      <c r="B261" s="3">
        <v>54.8</v>
      </c>
      <c r="C261" s="3">
        <v>51.5</v>
      </c>
      <c r="D261" s="3">
        <v>54.1</v>
      </c>
      <c r="E261" s="3">
        <v>51.2</v>
      </c>
      <c r="F261" s="3">
        <v>70.3</v>
      </c>
      <c r="G261" s="3">
        <v>50.9</v>
      </c>
      <c r="H261" s="11"/>
      <c r="I261" s="3">
        <v>84.4</v>
      </c>
      <c r="J261" s="11"/>
      <c r="K261" s="11"/>
      <c r="L261" s="11"/>
      <c r="M261" s="12">
        <f>(PMI!$D261+PMI!$E261)/2</f>
        <v>52.65</v>
      </c>
      <c r="N261" s="12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10">
        <v>25447.0</v>
      </c>
      <c r="B262" s="3">
        <v>54.1</v>
      </c>
      <c r="C262" s="3">
        <v>50.4</v>
      </c>
      <c r="D262" s="3">
        <v>54.8</v>
      </c>
      <c r="E262" s="3">
        <v>50.3</v>
      </c>
      <c r="F262" s="3">
        <v>68.9</v>
      </c>
      <c r="G262" s="3">
        <v>49.4</v>
      </c>
      <c r="H262" s="11"/>
      <c r="I262" s="3">
        <v>83.2</v>
      </c>
      <c r="J262" s="11"/>
      <c r="K262" s="11"/>
      <c r="L262" s="11"/>
      <c r="M262" s="12">
        <f>(PMI!$D262+PMI!$E262)/2</f>
        <v>52.55</v>
      </c>
      <c r="N262" s="12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10">
        <v>25477.0</v>
      </c>
      <c r="B263" s="3">
        <v>54.6</v>
      </c>
      <c r="C263" s="3">
        <v>51.9</v>
      </c>
      <c r="D263" s="3">
        <v>53.2</v>
      </c>
      <c r="E263" s="3">
        <v>51.3</v>
      </c>
      <c r="F263" s="3">
        <v>66.8</v>
      </c>
      <c r="G263" s="3">
        <v>54.2</v>
      </c>
      <c r="H263" s="11"/>
      <c r="I263" s="3">
        <v>85.3</v>
      </c>
      <c r="J263" s="11"/>
      <c r="K263" s="11"/>
      <c r="L263" s="11"/>
      <c r="M263" s="12">
        <f>(PMI!$D263+PMI!$E263)/2</f>
        <v>52.25</v>
      </c>
      <c r="N263" s="12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10">
        <v>25508.0</v>
      </c>
      <c r="B264" s="3">
        <v>53.2</v>
      </c>
      <c r="C264" s="3">
        <v>50.6</v>
      </c>
      <c r="D264" s="3">
        <v>51.2</v>
      </c>
      <c r="E264" s="3">
        <v>50.4</v>
      </c>
      <c r="F264" s="3">
        <v>64.1</v>
      </c>
      <c r="G264" s="3">
        <v>55.6</v>
      </c>
      <c r="H264" s="11"/>
      <c r="I264" s="3">
        <v>81.8</v>
      </c>
      <c r="J264" s="11"/>
      <c r="K264" s="11"/>
      <c r="L264" s="11"/>
      <c r="M264" s="12">
        <f>(PMI!$D264+PMI!$E264)/2</f>
        <v>50.8</v>
      </c>
      <c r="N264" s="12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10">
        <v>25538.0</v>
      </c>
      <c r="B265" s="3">
        <v>52.0</v>
      </c>
      <c r="C265" s="3">
        <v>48.0</v>
      </c>
      <c r="D265" s="3">
        <v>50.3</v>
      </c>
      <c r="E265" s="3">
        <v>49.6</v>
      </c>
      <c r="F265" s="3">
        <v>66.8</v>
      </c>
      <c r="G265" s="3">
        <v>51.5</v>
      </c>
      <c r="H265" s="11"/>
      <c r="I265" s="3">
        <v>82.2</v>
      </c>
      <c r="J265" s="11"/>
      <c r="K265" s="11"/>
      <c r="L265" s="11"/>
      <c r="M265" s="12">
        <f>(PMI!$D265+PMI!$E265)/2</f>
        <v>49.95</v>
      </c>
      <c r="N265" s="12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10">
        <v>25569.0</v>
      </c>
      <c r="B266" s="3">
        <v>48.7</v>
      </c>
      <c r="C266" s="3">
        <v>45.8</v>
      </c>
      <c r="D266" s="3">
        <v>48.1</v>
      </c>
      <c r="E266" s="3">
        <v>46.3</v>
      </c>
      <c r="F266" s="3">
        <v>57.9</v>
      </c>
      <c r="G266" s="3">
        <v>50.2</v>
      </c>
      <c r="H266" s="11"/>
      <c r="I266" s="3">
        <v>80.6</v>
      </c>
      <c r="J266" s="11"/>
      <c r="K266" s="11"/>
      <c r="L266" s="11"/>
      <c r="M266" s="12">
        <f>(PMI!$D266+PMI!$E266)/2</f>
        <v>47.2</v>
      </c>
      <c r="N266" s="12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10">
        <v>25600.0</v>
      </c>
      <c r="B267" s="3">
        <v>47.4</v>
      </c>
      <c r="C267" s="3">
        <v>45.8</v>
      </c>
      <c r="D267" s="3">
        <v>45.9</v>
      </c>
      <c r="E267" s="3">
        <v>43.3</v>
      </c>
      <c r="F267" s="3">
        <v>57.7</v>
      </c>
      <c r="G267" s="3">
        <v>48.6</v>
      </c>
      <c r="H267" s="11"/>
      <c r="I267" s="3">
        <v>74.5</v>
      </c>
      <c r="J267" s="11"/>
      <c r="K267" s="11"/>
      <c r="L267" s="11"/>
      <c r="M267" s="12">
        <f>(PMI!$D267+PMI!$E267)/2</f>
        <v>44.6</v>
      </c>
      <c r="N267" s="12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10">
        <v>25628.0</v>
      </c>
      <c r="B268" s="3">
        <v>46.9</v>
      </c>
      <c r="C268" s="3">
        <v>45.2</v>
      </c>
      <c r="D268" s="3">
        <v>47.3</v>
      </c>
      <c r="E268" s="3">
        <v>44.8</v>
      </c>
      <c r="F268" s="3">
        <v>49.3</v>
      </c>
      <c r="G268" s="3">
        <v>51.4</v>
      </c>
      <c r="H268" s="11"/>
      <c r="I268" s="3">
        <v>67.8</v>
      </c>
      <c r="J268" s="11"/>
      <c r="K268" s="11"/>
      <c r="L268" s="11"/>
      <c r="M268" s="12">
        <f>(PMI!$D268+PMI!$E268)/2</f>
        <v>46.05</v>
      </c>
      <c r="N268" s="12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10">
        <v>25659.0</v>
      </c>
      <c r="B269" s="3">
        <v>45.0</v>
      </c>
      <c r="C269" s="3">
        <v>45.7</v>
      </c>
      <c r="D269" s="3">
        <v>45.5</v>
      </c>
      <c r="E269" s="3">
        <v>40.7</v>
      </c>
      <c r="F269" s="3">
        <v>48.7</v>
      </c>
      <c r="G269" s="3">
        <v>44.3</v>
      </c>
      <c r="H269" s="11"/>
      <c r="I269" s="3">
        <v>75.1</v>
      </c>
      <c r="J269" s="11"/>
      <c r="K269" s="11"/>
      <c r="L269" s="11"/>
      <c r="M269" s="12">
        <f>(PMI!$D269+PMI!$E269)/2</f>
        <v>43.1</v>
      </c>
      <c r="N269" s="12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10">
        <v>25689.0</v>
      </c>
      <c r="B270" s="3">
        <v>47.2</v>
      </c>
      <c r="C270" s="3">
        <v>45.3</v>
      </c>
      <c r="D270" s="3">
        <v>45.2</v>
      </c>
      <c r="E270" s="3">
        <v>40.8</v>
      </c>
      <c r="F270" s="3">
        <v>67.2</v>
      </c>
      <c r="G270" s="3">
        <v>40.4</v>
      </c>
      <c r="H270" s="11"/>
      <c r="I270" s="3">
        <v>78.3</v>
      </c>
      <c r="J270" s="11"/>
      <c r="K270" s="11"/>
      <c r="L270" s="11"/>
      <c r="M270" s="12">
        <f>(PMI!$D270+PMI!$E270)/2</f>
        <v>43</v>
      </c>
      <c r="N270" s="12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10">
        <v>25720.0</v>
      </c>
      <c r="B271" s="3">
        <v>51.1</v>
      </c>
      <c r="C271" s="3">
        <v>53.2</v>
      </c>
      <c r="D271" s="3">
        <v>49.7</v>
      </c>
      <c r="E271" s="3">
        <v>41.4</v>
      </c>
      <c r="F271" s="3">
        <v>66.1</v>
      </c>
      <c r="G271" s="3">
        <v>45.3</v>
      </c>
      <c r="H271" s="11"/>
      <c r="I271" s="3">
        <v>73.8</v>
      </c>
      <c r="J271" s="11"/>
      <c r="K271" s="11"/>
      <c r="L271" s="11"/>
      <c r="M271" s="12">
        <f>(PMI!$D271+PMI!$E271)/2</f>
        <v>45.55</v>
      </c>
      <c r="N271" s="12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10">
        <v>25750.0</v>
      </c>
      <c r="B272" s="3">
        <v>49.5</v>
      </c>
      <c r="C272" s="3">
        <v>52.5</v>
      </c>
      <c r="D272" s="3">
        <v>54.5</v>
      </c>
      <c r="E272" s="3">
        <v>40.6</v>
      </c>
      <c r="F272" s="3">
        <v>49.8</v>
      </c>
      <c r="G272" s="3">
        <v>45.4</v>
      </c>
      <c r="H272" s="11"/>
      <c r="I272" s="3">
        <v>72.4</v>
      </c>
      <c r="J272" s="11"/>
      <c r="K272" s="11"/>
      <c r="L272" s="11"/>
      <c r="M272" s="12">
        <f>(PMI!$D272+PMI!$E272)/2</f>
        <v>47.55</v>
      </c>
      <c r="N272" s="12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10">
        <v>25781.0</v>
      </c>
      <c r="B273" s="3">
        <v>47.3</v>
      </c>
      <c r="C273" s="3">
        <v>51.8</v>
      </c>
      <c r="D273" s="3">
        <v>49.7</v>
      </c>
      <c r="E273" s="3">
        <v>40.1</v>
      </c>
      <c r="F273" s="3">
        <v>46.1</v>
      </c>
      <c r="G273" s="3">
        <v>43.8</v>
      </c>
      <c r="H273" s="11"/>
      <c r="I273" s="3">
        <v>68.6</v>
      </c>
      <c r="J273" s="11"/>
      <c r="K273" s="11"/>
      <c r="L273" s="11"/>
      <c r="M273" s="12">
        <f>(PMI!$D273+PMI!$E273)/2</f>
        <v>44.9</v>
      </c>
      <c r="N273" s="12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10">
        <v>25812.0</v>
      </c>
      <c r="B274" s="3">
        <v>44.1</v>
      </c>
      <c r="C274" s="3">
        <v>44.2</v>
      </c>
      <c r="D274" s="3">
        <v>45.1</v>
      </c>
      <c r="E274" s="3">
        <v>39.5</v>
      </c>
      <c r="F274" s="3">
        <v>46.5</v>
      </c>
      <c r="G274" s="3">
        <v>47.2</v>
      </c>
      <c r="H274" s="11"/>
      <c r="I274" s="3">
        <v>70.6</v>
      </c>
      <c r="J274" s="11"/>
      <c r="K274" s="11"/>
      <c r="L274" s="11"/>
      <c r="M274" s="12">
        <f>(PMI!$D274+PMI!$E274)/2</f>
        <v>42.3</v>
      </c>
      <c r="N274" s="12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10">
        <v>25842.0</v>
      </c>
      <c r="B275" s="3">
        <v>42.4</v>
      </c>
      <c r="C275" s="3">
        <v>44.7</v>
      </c>
      <c r="D275" s="3">
        <v>44.1</v>
      </c>
      <c r="E275" s="3">
        <v>37.6</v>
      </c>
      <c r="F275" s="3">
        <v>39.0</v>
      </c>
      <c r="G275" s="3">
        <v>45.7</v>
      </c>
      <c r="H275" s="11"/>
      <c r="I275" s="3">
        <v>67.8</v>
      </c>
      <c r="J275" s="11"/>
      <c r="K275" s="11"/>
      <c r="L275" s="11"/>
      <c r="M275" s="12">
        <f>(PMI!$D275+PMI!$E275)/2</f>
        <v>40.85</v>
      </c>
      <c r="N275" s="12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10">
        <v>25873.0</v>
      </c>
      <c r="B276" s="3">
        <v>39.7</v>
      </c>
      <c r="C276" s="3">
        <v>43.3</v>
      </c>
      <c r="D276" s="3">
        <v>38.5</v>
      </c>
      <c r="E276" s="3">
        <v>33.8</v>
      </c>
      <c r="F276" s="3">
        <v>37.8</v>
      </c>
      <c r="G276" s="3">
        <v>46.3</v>
      </c>
      <c r="H276" s="11"/>
      <c r="I276" s="3">
        <v>68.1</v>
      </c>
      <c r="J276" s="11"/>
      <c r="K276" s="11"/>
      <c r="L276" s="11"/>
      <c r="M276" s="12">
        <f>(PMI!$D276+PMI!$E276)/2</f>
        <v>36.15</v>
      </c>
      <c r="N276" s="12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10">
        <v>25903.0</v>
      </c>
      <c r="B277" s="3">
        <v>45.4</v>
      </c>
      <c r="C277" s="3">
        <v>51.2</v>
      </c>
      <c r="D277" s="3">
        <v>46.8</v>
      </c>
      <c r="E277" s="3">
        <v>41.4</v>
      </c>
      <c r="F277" s="3">
        <v>37.5</v>
      </c>
      <c r="G277" s="3">
        <v>44.4</v>
      </c>
      <c r="H277" s="11"/>
      <c r="I277" s="3">
        <v>64.5</v>
      </c>
      <c r="J277" s="11"/>
      <c r="K277" s="11"/>
      <c r="L277" s="11"/>
      <c r="M277" s="12">
        <f>(PMI!$D277+PMI!$E277)/2</f>
        <v>44.1</v>
      </c>
      <c r="N277" s="12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10">
        <v>25934.0</v>
      </c>
      <c r="B278" s="3">
        <v>47.9</v>
      </c>
      <c r="C278" s="3">
        <v>55.4</v>
      </c>
      <c r="D278" s="3">
        <v>50.5</v>
      </c>
      <c r="E278" s="3">
        <v>40.0</v>
      </c>
      <c r="F278" s="3">
        <v>39.8</v>
      </c>
      <c r="G278" s="3">
        <v>47.4</v>
      </c>
      <c r="H278" s="11"/>
      <c r="I278" s="3">
        <v>65.1</v>
      </c>
      <c r="J278" s="11"/>
      <c r="K278" s="11"/>
      <c r="L278" s="11"/>
      <c r="M278" s="12">
        <f>(PMI!$D278+PMI!$E278)/2</f>
        <v>45.25</v>
      </c>
      <c r="N278" s="12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10">
        <v>25965.0</v>
      </c>
      <c r="B279" s="3">
        <v>54.8</v>
      </c>
      <c r="C279" s="3">
        <v>62.8</v>
      </c>
      <c r="D279" s="3">
        <v>60.0</v>
      </c>
      <c r="E279" s="3">
        <v>47.7</v>
      </c>
      <c r="F279" s="3">
        <v>44.2</v>
      </c>
      <c r="G279" s="3">
        <v>48.0</v>
      </c>
      <c r="H279" s="11"/>
      <c r="I279" s="3">
        <v>64.6</v>
      </c>
      <c r="J279" s="11"/>
      <c r="K279" s="11"/>
      <c r="L279" s="11"/>
      <c r="M279" s="12">
        <f>(PMI!$D279+PMI!$E279)/2</f>
        <v>53.85</v>
      </c>
      <c r="N279" s="12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10">
        <v>25993.0</v>
      </c>
      <c r="B280" s="3">
        <v>51.2</v>
      </c>
      <c r="C280" s="3">
        <v>56.2</v>
      </c>
      <c r="D280" s="3">
        <v>54.4</v>
      </c>
      <c r="E280" s="3">
        <v>44.3</v>
      </c>
      <c r="F280" s="3">
        <v>45.0</v>
      </c>
      <c r="G280" s="3">
        <v>51.2</v>
      </c>
      <c r="H280" s="11"/>
      <c r="I280" s="3">
        <v>67.0</v>
      </c>
      <c r="J280" s="11"/>
      <c r="K280" s="11"/>
      <c r="L280" s="11"/>
      <c r="M280" s="12">
        <f>(PMI!$D280+PMI!$E280)/2</f>
        <v>49.35</v>
      </c>
      <c r="N280" s="12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10">
        <v>26024.0</v>
      </c>
      <c r="B281" s="3">
        <v>54.5</v>
      </c>
      <c r="C281" s="3">
        <v>59.6</v>
      </c>
      <c r="D281" s="3">
        <v>58.1</v>
      </c>
      <c r="E281" s="3">
        <v>45.7</v>
      </c>
      <c r="F281" s="3">
        <v>48.9</v>
      </c>
      <c r="G281" s="3">
        <v>55.5</v>
      </c>
      <c r="H281" s="11"/>
      <c r="I281" s="3">
        <v>70.8</v>
      </c>
      <c r="J281" s="11"/>
      <c r="K281" s="11"/>
      <c r="L281" s="11"/>
      <c r="M281" s="12">
        <f>(PMI!$D281+PMI!$E281)/2</f>
        <v>51.9</v>
      </c>
      <c r="N281" s="12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10">
        <v>26054.0</v>
      </c>
      <c r="B282" s="3">
        <v>54.2</v>
      </c>
      <c r="C282" s="3">
        <v>57.0</v>
      </c>
      <c r="D282" s="3">
        <v>58.9</v>
      </c>
      <c r="E282" s="3">
        <v>47.4</v>
      </c>
      <c r="F282" s="3">
        <v>49.4</v>
      </c>
      <c r="G282" s="3">
        <v>55.1</v>
      </c>
      <c r="H282" s="11"/>
      <c r="I282" s="3">
        <v>71.6</v>
      </c>
      <c r="J282" s="11"/>
      <c r="K282" s="11"/>
      <c r="L282" s="11"/>
      <c r="M282" s="12">
        <f>(PMI!$D282+PMI!$E282)/2</f>
        <v>53.15</v>
      </c>
      <c r="N282" s="12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10">
        <v>26085.0</v>
      </c>
      <c r="B283" s="3">
        <v>53.8</v>
      </c>
      <c r="C283" s="3">
        <v>57.9</v>
      </c>
      <c r="D283" s="3">
        <v>55.4</v>
      </c>
      <c r="E283" s="3">
        <v>47.5</v>
      </c>
      <c r="F283" s="3">
        <v>47.9</v>
      </c>
      <c r="G283" s="3">
        <v>59.0</v>
      </c>
      <c r="H283" s="11"/>
      <c r="I283" s="3">
        <v>78.1</v>
      </c>
      <c r="J283" s="11"/>
      <c r="K283" s="11"/>
      <c r="L283" s="11"/>
      <c r="M283" s="12">
        <f>(PMI!$D283+PMI!$E283)/2</f>
        <v>51.45</v>
      </c>
      <c r="N283" s="12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10">
        <v>26115.0</v>
      </c>
      <c r="B284" s="3">
        <v>54.4</v>
      </c>
      <c r="C284" s="3">
        <v>57.8</v>
      </c>
      <c r="D284" s="3">
        <v>56.8</v>
      </c>
      <c r="E284" s="3">
        <v>49.5</v>
      </c>
      <c r="F284" s="3">
        <v>47.4</v>
      </c>
      <c r="G284" s="3">
        <v>58.9</v>
      </c>
      <c r="H284" s="11"/>
      <c r="I284" s="3">
        <v>72.6</v>
      </c>
      <c r="J284" s="11"/>
      <c r="K284" s="11"/>
      <c r="L284" s="11"/>
      <c r="M284" s="12">
        <f>(PMI!$D284+PMI!$E284)/2</f>
        <v>53.15</v>
      </c>
      <c r="N284" s="12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10">
        <v>26146.0</v>
      </c>
      <c r="B285" s="3">
        <v>53.6</v>
      </c>
      <c r="C285" s="3">
        <v>58.4</v>
      </c>
      <c r="D285" s="3">
        <v>55.6</v>
      </c>
      <c r="E285" s="3">
        <v>48.4</v>
      </c>
      <c r="F285" s="3">
        <v>49.7</v>
      </c>
      <c r="G285" s="3">
        <v>50.9</v>
      </c>
      <c r="H285" s="11"/>
      <c r="I285" s="3">
        <v>72.4</v>
      </c>
      <c r="J285" s="11"/>
      <c r="K285" s="11"/>
      <c r="L285" s="11"/>
      <c r="M285" s="12">
        <f>(PMI!$D285+PMI!$E285)/2</f>
        <v>52</v>
      </c>
      <c r="N285" s="12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10">
        <v>26177.0</v>
      </c>
      <c r="B286" s="3">
        <v>55.1</v>
      </c>
      <c r="C286" s="3">
        <v>61.0</v>
      </c>
      <c r="D286" s="3">
        <v>59.3</v>
      </c>
      <c r="E286" s="3">
        <v>53.0</v>
      </c>
      <c r="F286" s="3">
        <v>48.9</v>
      </c>
      <c r="G286" s="3">
        <v>40.2</v>
      </c>
      <c r="H286" s="11"/>
      <c r="I286" s="3">
        <v>52.3</v>
      </c>
      <c r="J286" s="11"/>
      <c r="K286" s="11"/>
      <c r="L286" s="11"/>
      <c r="M286" s="12">
        <f>(PMI!$D286+PMI!$E286)/2</f>
        <v>56.15</v>
      </c>
      <c r="N286" s="12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10">
        <v>26207.0</v>
      </c>
      <c r="B287" s="3">
        <v>55.0</v>
      </c>
      <c r="C287" s="3">
        <v>61.4</v>
      </c>
      <c r="D287" s="3">
        <v>60.8</v>
      </c>
      <c r="E287" s="3">
        <v>49.8</v>
      </c>
      <c r="F287" s="3">
        <v>50.9</v>
      </c>
      <c r="G287" s="3">
        <v>38.1</v>
      </c>
      <c r="H287" s="11"/>
      <c r="I287" s="3">
        <v>51.7</v>
      </c>
      <c r="J287" s="11"/>
      <c r="K287" s="11"/>
      <c r="L287" s="11"/>
      <c r="M287" s="12">
        <f>(PMI!$D287+PMI!$E287)/2</f>
        <v>55.3</v>
      </c>
      <c r="N287" s="12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10">
        <v>26238.0</v>
      </c>
      <c r="B288" s="3">
        <v>52.3</v>
      </c>
      <c r="C288" s="3">
        <v>55.4</v>
      </c>
      <c r="D288" s="3">
        <v>56.1</v>
      </c>
      <c r="E288" s="3">
        <v>49.3</v>
      </c>
      <c r="F288" s="3">
        <v>50.9</v>
      </c>
      <c r="G288" s="3">
        <v>41.6</v>
      </c>
      <c r="H288" s="11"/>
      <c r="I288" s="3">
        <v>53.9</v>
      </c>
      <c r="J288" s="11"/>
      <c r="K288" s="11"/>
      <c r="L288" s="11"/>
      <c r="M288" s="12">
        <f>(PMI!$D288+PMI!$E288)/2</f>
        <v>52.7</v>
      </c>
      <c r="N288" s="12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10">
        <v>26268.0</v>
      </c>
      <c r="B289" s="3">
        <v>57.6</v>
      </c>
      <c r="C289" s="3">
        <v>63.5</v>
      </c>
      <c r="D289" s="3">
        <v>63.9</v>
      </c>
      <c r="E289" s="3">
        <v>49.0</v>
      </c>
      <c r="F289" s="3">
        <v>53.3</v>
      </c>
      <c r="G289" s="3">
        <v>47.7</v>
      </c>
      <c r="H289" s="11"/>
      <c r="I289" s="3">
        <v>65.1</v>
      </c>
      <c r="J289" s="11"/>
      <c r="K289" s="11"/>
      <c r="L289" s="11"/>
      <c r="M289" s="12">
        <f>(PMI!$D289+PMI!$E289)/2</f>
        <v>56.45</v>
      </c>
      <c r="N289" s="12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10">
        <v>26299.0</v>
      </c>
      <c r="B290" s="3">
        <v>59.6</v>
      </c>
      <c r="C290" s="3">
        <v>64.8</v>
      </c>
      <c r="D290" s="3">
        <v>65.6</v>
      </c>
      <c r="E290" s="3">
        <v>53.3</v>
      </c>
      <c r="F290" s="3">
        <v>55.2</v>
      </c>
      <c r="G290" s="3">
        <v>48.4</v>
      </c>
      <c r="H290" s="11"/>
      <c r="I290" s="3">
        <v>79.3</v>
      </c>
      <c r="J290" s="11"/>
      <c r="K290" s="11"/>
      <c r="L290" s="11"/>
      <c r="M290" s="12">
        <f>(PMI!$D290+PMI!$E290)/2</f>
        <v>59.45</v>
      </c>
      <c r="N290" s="12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10">
        <v>26330.0</v>
      </c>
      <c r="B291" s="3">
        <v>60.6</v>
      </c>
      <c r="C291" s="3">
        <v>66.0</v>
      </c>
      <c r="D291" s="3">
        <v>67.7</v>
      </c>
      <c r="E291" s="3">
        <v>54.4</v>
      </c>
      <c r="F291" s="3">
        <v>52.6</v>
      </c>
      <c r="G291" s="3">
        <v>51.7</v>
      </c>
      <c r="H291" s="11"/>
      <c r="I291" s="3">
        <v>74.1</v>
      </c>
      <c r="J291" s="11"/>
      <c r="K291" s="11"/>
      <c r="L291" s="11"/>
      <c r="M291" s="12">
        <f>(PMI!$D291+PMI!$E291)/2</f>
        <v>61.05</v>
      </c>
      <c r="N291" s="12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10">
        <v>26359.0</v>
      </c>
      <c r="B292" s="3">
        <v>59.8</v>
      </c>
      <c r="C292" s="3">
        <v>64.6</v>
      </c>
      <c r="D292" s="3">
        <v>63.5</v>
      </c>
      <c r="E292" s="3">
        <v>53.9</v>
      </c>
      <c r="F292" s="3">
        <v>57.1</v>
      </c>
      <c r="G292" s="3">
        <v>51.5</v>
      </c>
      <c r="H292" s="11"/>
      <c r="I292" s="3">
        <v>73.9</v>
      </c>
      <c r="J292" s="11"/>
      <c r="K292" s="11"/>
      <c r="L292" s="11"/>
      <c r="M292" s="12">
        <f>(PMI!$D292+PMI!$E292)/2</f>
        <v>58.7</v>
      </c>
      <c r="N292" s="12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10">
        <v>26390.0</v>
      </c>
      <c r="B293" s="3">
        <v>59.3</v>
      </c>
      <c r="C293" s="3">
        <v>63.0</v>
      </c>
      <c r="D293" s="3">
        <v>62.6</v>
      </c>
      <c r="E293" s="3">
        <v>55.9</v>
      </c>
      <c r="F293" s="3">
        <v>55.0</v>
      </c>
      <c r="G293" s="3">
        <v>52.3</v>
      </c>
      <c r="H293" s="11"/>
      <c r="I293" s="3">
        <v>73.4</v>
      </c>
      <c r="J293" s="11"/>
      <c r="K293" s="11"/>
      <c r="L293" s="11"/>
      <c r="M293" s="12">
        <f>(PMI!$D293+PMI!$E293)/2</f>
        <v>59.25</v>
      </c>
      <c r="N293" s="12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10">
        <v>26420.0</v>
      </c>
      <c r="B294" s="3">
        <v>61.4</v>
      </c>
      <c r="C294" s="3">
        <v>66.9</v>
      </c>
      <c r="D294" s="3">
        <v>65.7</v>
      </c>
      <c r="E294" s="3">
        <v>56.0</v>
      </c>
      <c r="F294" s="3">
        <v>56.1</v>
      </c>
      <c r="G294" s="3">
        <v>53.1</v>
      </c>
      <c r="H294" s="11"/>
      <c r="I294" s="3">
        <v>71.4</v>
      </c>
      <c r="J294" s="11"/>
      <c r="K294" s="11"/>
      <c r="L294" s="11"/>
      <c r="M294" s="12">
        <f>(PMI!$D294+PMI!$E294)/2</f>
        <v>60.85</v>
      </c>
      <c r="N294" s="12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10">
        <v>26451.0</v>
      </c>
      <c r="B295" s="3">
        <v>58.6</v>
      </c>
      <c r="C295" s="3">
        <v>62.1</v>
      </c>
      <c r="D295" s="3">
        <v>62.2</v>
      </c>
      <c r="E295" s="3">
        <v>53.9</v>
      </c>
      <c r="F295" s="3">
        <v>57.7</v>
      </c>
      <c r="G295" s="3">
        <v>49.6</v>
      </c>
      <c r="H295" s="11"/>
      <c r="I295" s="3">
        <v>70.2</v>
      </c>
      <c r="J295" s="11"/>
      <c r="K295" s="11"/>
      <c r="L295" s="11"/>
      <c r="M295" s="12">
        <f>(PMI!$D295+PMI!$E295)/2</f>
        <v>58.05</v>
      </c>
      <c r="N295" s="12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10">
        <v>26481.0</v>
      </c>
      <c r="B296" s="3">
        <v>60.1</v>
      </c>
      <c r="C296" s="3">
        <v>64.7</v>
      </c>
      <c r="D296" s="3">
        <v>65.3</v>
      </c>
      <c r="E296" s="3">
        <v>52.1</v>
      </c>
      <c r="F296" s="3">
        <v>61.7</v>
      </c>
      <c r="G296" s="3">
        <v>46.7</v>
      </c>
      <c r="H296" s="11"/>
      <c r="I296" s="3">
        <v>70.6</v>
      </c>
      <c r="J296" s="11"/>
      <c r="K296" s="11"/>
      <c r="L296" s="11"/>
      <c r="M296" s="12">
        <f>(PMI!$D296+PMI!$E296)/2</f>
        <v>58.7</v>
      </c>
      <c r="N296" s="12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10">
        <v>26512.0</v>
      </c>
      <c r="B297" s="3">
        <v>61.7</v>
      </c>
      <c r="C297" s="3">
        <v>65.1</v>
      </c>
      <c r="D297" s="3">
        <v>63.2</v>
      </c>
      <c r="E297" s="3">
        <v>57.1</v>
      </c>
      <c r="F297" s="3">
        <v>62.9</v>
      </c>
      <c r="G297" s="3">
        <v>55.5</v>
      </c>
      <c r="H297" s="11"/>
      <c r="I297" s="3">
        <v>70.1</v>
      </c>
      <c r="J297" s="11"/>
      <c r="K297" s="11"/>
      <c r="L297" s="11"/>
      <c r="M297" s="12">
        <f>(PMI!$D297+PMI!$E297)/2</f>
        <v>60.15</v>
      </c>
      <c r="N297" s="12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10">
        <v>26543.0</v>
      </c>
      <c r="B298" s="3">
        <v>65.1</v>
      </c>
      <c r="C298" s="3">
        <v>69.3</v>
      </c>
      <c r="D298" s="3">
        <v>68.3</v>
      </c>
      <c r="E298" s="3">
        <v>58.6</v>
      </c>
      <c r="F298" s="3">
        <v>65.5</v>
      </c>
      <c r="G298" s="3">
        <v>56.8</v>
      </c>
      <c r="H298" s="11"/>
      <c r="I298" s="3">
        <v>67.8</v>
      </c>
      <c r="J298" s="11"/>
      <c r="K298" s="11"/>
      <c r="L298" s="11"/>
      <c r="M298" s="12">
        <f>(PMI!$D298+PMI!$E298)/2</f>
        <v>63.45</v>
      </c>
      <c r="N298" s="12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10">
        <v>26573.0</v>
      </c>
      <c r="B299" s="3">
        <v>67.0</v>
      </c>
      <c r="C299" s="3">
        <v>70.8</v>
      </c>
      <c r="D299" s="3">
        <v>66.9</v>
      </c>
      <c r="E299" s="3">
        <v>59.0</v>
      </c>
      <c r="F299" s="3">
        <v>73.0</v>
      </c>
      <c r="G299" s="3">
        <v>63.0</v>
      </c>
      <c r="H299" s="11"/>
      <c r="I299" s="3">
        <v>72.0</v>
      </c>
      <c r="J299" s="11"/>
      <c r="K299" s="11"/>
      <c r="L299" s="11"/>
      <c r="M299" s="12">
        <f>(PMI!$D299+PMI!$E299)/2</f>
        <v>62.95</v>
      </c>
      <c r="N299" s="12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10">
        <v>26604.0</v>
      </c>
      <c r="B300" s="3">
        <v>69.9</v>
      </c>
      <c r="C300" s="3">
        <v>73.0</v>
      </c>
      <c r="D300" s="3">
        <v>72.7</v>
      </c>
      <c r="E300" s="3">
        <v>61.7</v>
      </c>
      <c r="F300" s="3">
        <v>74.5</v>
      </c>
      <c r="G300" s="3">
        <v>63.4</v>
      </c>
      <c r="H300" s="11"/>
      <c r="I300" s="3">
        <v>74.5</v>
      </c>
      <c r="J300" s="11"/>
      <c r="K300" s="11"/>
      <c r="L300" s="11"/>
      <c r="M300" s="12">
        <f>(PMI!$D300+PMI!$E300)/2</f>
        <v>67.2</v>
      </c>
      <c r="N300" s="12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10">
        <v>26634.0</v>
      </c>
      <c r="B301" s="3">
        <v>70.5</v>
      </c>
      <c r="C301" s="3">
        <v>71.9</v>
      </c>
      <c r="D301" s="3">
        <v>71.8</v>
      </c>
      <c r="E301" s="3">
        <v>63.2</v>
      </c>
      <c r="F301" s="3">
        <v>80.7</v>
      </c>
      <c r="G301" s="3">
        <v>62.5</v>
      </c>
      <c r="H301" s="11"/>
      <c r="I301" s="3">
        <v>78.0</v>
      </c>
      <c r="J301" s="11"/>
      <c r="K301" s="11"/>
      <c r="L301" s="11"/>
      <c r="M301" s="12">
        <f>(PMI!$D301+PMI!$E301)/2</f>
        <v>67.5</v>
      </c>
      <c r="N301" s="12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10">
        <v>26665.0</v>
      </c>
      <c r="B302" s="3">
        <v>72.1</v>
      </c>
      <c r="C302" s="3">
        <v>73.8</v>
      </c>
      <c r="D302" s="3">
        <v>71.1</v>
      </c>
      <c r="E302" s="3">
        <v>67.8</v>
      </c>
      <c r="F302" s="3">
        <v>83.7</v>
      </c>
      <c r="G302" s="3">
        <v>61.0</v>
      </c>
      <c r="H302" s="11"/>
      <c r="I302" s="3">
        <v>82.9</v>
      </c>
      <c r="J302" s="11"/>
      <c r="K302" s="11"/>
      <c r="L302" s="11"/>
      <c r="M302" s="12">
        <f>(PMI!$D302+PMI!$E302)/2</f>
        <v>69.45</v>
      </c>
      <c r="N302" s="12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10">
        <v>26696.0</v>
      </c>
      <c r="B303" s="3">
        <v>69.6</v>
      </c>
      <c r="C303" s="3">
        <v>69.0</v>
      </c>
      <c r="D303" s="3">
        <v>68.5</v>
      </c>
      <c r="E303" s="3">
        <v>63.2</v>
      </c>
      <c r="F303" s="3">
        <v>85.2</v>
      </c>
      <c r="G303" s="3">
        <v>63.6</v>
      </c>
      <c r="H303" s="11"/>
      <c r="I303" s="3">
        <v>87.8</v>
      </c>
      <c r="J303" s="11"/>
      <c r="K303" s="11"/>
      <c r="L303" s="11"/>
      <c r="M303" s="12">
        <f>(PMI!$D303+PMI!$E303)/2</f>
        <v>65.85</v>
      </c>
      <c r="N303" s="12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10">
        <v>26724.0</v>
      </c>
      <c r="B304" s="3">
        <v>69.6</v>
      </c>
      <c r="C304" s="3">
        <v>68.8</v>
      </c>
      <c r="D304" s="3">
        <v>67.7</v>
      </c>
      <c r="E304" s="3">
        <v>63.6</v>
      </c>
      <c r="F304" s="3">
        <v>87.5</v>
      </c>
      <c r="G304" s="3">
        <v>61.9</v>
      </c>
      <c r="H304" s="11"/>
      <c r="I304" s="3">
        <v>90.0</v>
      </c>
      <c r="J304" s="11"/>
      <c r="K304" s="11"/>
      <c r="L304" s="11"/>
      <c r="M304" s="12">
        <f>(PMI!$D304+PMI!$E304)/2</f>
        <v>65.65</v>
      </c>
      <c r="N304" s="12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10">
        <v>26755.0</v>
      </c>
      <c r="B305" s="3">
        <v>67.7</v>
      </c>
      <c r="C305" s="3">
        <v>65.9</v>
      </c>
      <c r="D305" s="3">
        <v>65.6</v>
      </c>
      <c r="E305" s="3">
        <v>62.6</v>
      </c>
      <c r="F305" s="3">
        <v>86.7</v>
      </c>
      <c r="G305" s="3">
        <v>59.2</v>
      </c>
      <c r="H305" s="11"/>
      <c r="I305" s="3">
        <v>88.3</v>
      </c>
      <c r="J305" s="11"/>
      <c r="K305" s="11"/>
      <c r="L305" s="11"/>
      <c r="M305" s="12">
        <f>(PMI!$D305+PMI!$E305)/2</f>
        <v>64.1</v>
      </c>
      <c r="N305" s="12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10">
        <v>26785.0</v>
      </c>
      <c r="B306" s="3">
        <v>64.8</v>
      </c>
      <c r="C306" s="3">
        <v>63.5</v>
      </c>
      <c r="D306" s="3">
        <v>59.2</v>
      </c>
      <c r="E306" s="3">
        <v>60.2</v>
      </c>
      <c r="F306" s="3">
        <v>86.6</v>
      </c>
      <c r="G306" s="3">
        <v>59.2</v>
      </c>
      <c r="H306" s="11"/>
      <c r="I306" s="3">
        <v>89.3</v>
      </c>
      <c r="J306" s="11"/>
      <c r="K306" s="11"/>
      <c r="L306" s="11"/>
      <c r="M306" s="12">
        <f>(PMI!$D306+PMI!$E306)/2</f>
        <v>59.7</v>
      </c>
      <c r="N306" s="12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10">
        <v>26816.0</v>
      </c>
      <c r="B307" s="3">
        <v>65.0</v>
      </c>
      <c r="C307" s="3">
        <v>61.0</v>
      </c>
      <c r="D307" s="3">
        <v>62.7</v>
      </c>
      <c r="E307" s="3">
        <v>59.7</v>
      </c>
      <c r="F307" s="3">
        <v>85.6</v>
      </c>
      <c r="G307" s="3">
        <v>62.5</v>
      </c>
      <c r="H307" s="11"/>
      <c r="I307" s="3">
        <v>87.6</v>
      </c>
      <c r="J307" s="11"/>
      <c r="K307" s="11"/>
      <c r="L307" s="11"/>
      <c r="M307" s="12">
        <f>(PMI!$D307+PMI!$E307)/2</f>
        <v>61.2</v>
      </c>
      <c r="N307" s="12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10">
        <v>26846.0</v>
      </c>
      <c r="B308" s="3">
        <v>57.8</v>
      </c>
      <c r="C308" s="3">
        <v>49.2</v>
      </c>
      <c r="D308" s="3">
        <v>50.4</v>
      </c>
      <c r="E308" s="3">
        <v>56.4</v>
      </c>
      <c r="F308" s="3">
        <v>85.2</v>
      </c>
      <c r="G308" s="3">
        <v>64.0</v>
      </c>
      <c r="H308" s="11"/>
      <c r="I308" s="3">
        <v>69.6</v>
      </c>
      <c r="J308" s="11"/>
      <c r="K308" s="11"/>
      <c r="L308" s="11"/>
      <c r="M308" s="12">
        <f>(PMI!$D308+PMI!$E308)/2</f>
        <v>53.4</v>
      </c>
      <c r="N308" s="12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10">
        <v>26877.0</v>
      </c>
      <c r="B309" s="3">
        <v>62.7</v>
      </c>
      <c r="C309" s="3">
        <v>59.1</v>
      </c>
      <c r="D309" s="3">
        <v>59.0</v>
      </c>
      <c r="E309" s="3">
        <v>54.9</v>
      </c>
      <c r="F309" s="3">
        <v>86.7</v>
      </c>
      <c r="G309" s="3">
        <v>62.1</v>
      </c>
      <c r="H309" s="11"/>
      <c r="I309" s="3">
        <v>86.1</v>
      </c>
      <c r="J309" s="11"/>
      <c r="K309" s="11"/>
      <c r="L309" s="11"/>
      <c r="M309" s="12">
        <f>(PMI!$D309+PMI!$E309)/2</f>
        <v>56.95</v>
      </c>
      <c r="N309" s="12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10">
        <v>26908.0</v>
      </c>
      <c r="B310" s="3">
        <v>63.5</v>
      </c>
      <c r="C310" s="3">
        <v>60.0</v>
      </c>
      <c r="D310" s="3">
        <v>58.2</v>
      </c>
      <c r="E310" s="3">
        <v>56.1</v>
      </c>
      <c r="F310" s="3">
        <v>90.1</v>
      </c>
      <c r="G310" s="3">
        <v>62.3</v>
      </c>
      <c r="H310" s="11"/>
      <c r="I310" s="3">
        <v>92.1</v>
      </c>
      <c r="J310" s="11"/>
      <c r="K310" s="11"/>
      <c r="L310" s="11"/>
      <c r="M310" s="12">
        <f>(PMI!$D310+PMI!$E310)/2</f>
        <v>57.15</v>
      </c>
      <c r="N310" s="12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10">
        <v>26938.0</v>
      </c>
      <c r="B311" s="3">
        <v>66.2</v>
      </c>
      <c r="C311" s="3">
        <v>65.4</v>
      </c>
      <c r="D311" s="3">
        <v>58.4</v>
      </c>
      <c r="E311" s="3">
        <v>60.4</v>
      </c>
      <c r="F311" s="3">
        <v>88.7</v>
      </c>
      <c r="G311" s="3">
        <v>66.5</v>
      </c>
      <c r="H311" s="11"/>
      <c r="I311" s="3">
        <v>92.9</v>
      </c>
      <c r="J311" s="11"/>
      <c r="K311" s="11"/>
      <c r="L311" s="11"/>
      <c r="M311" s="12">
        <f>(PMI!$D311+PMI!$E311)/2</f>
        <v>59.4</v>
      </c>
      <c r="N311" s="12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10">
        <v>26969.0</v>
      </c>
      <c r="B312" s="3">
        <v>68.1</v>
      </c>
      <c r="C312" s="3">
        <v>65.2</v>
      </c>
      <c r="D312" s="3">
        <v>62.0</v>
      </c>
      <c r="E312" s="3">
        <v>60.8</v>
      </c>
      <c r="F312" s="3">
        <v>96.8</v>
      </c>
      <c r="G312" s="3">
        <v>63.8</v>
      </c>
      <c r="H312" s="11"/>
      <c r="I312" s="3">
        <v>97.6</v>
      </c>
      <c r="J312" s="11"/>
      <c r="K312" s="11"/>
      <c r="L312" s="11"/>
      <c r="M312" s="12">
        <f>(PMI!$D312+PMI!$E312)/2</f>
        <v>61.4</v>
      </c>
      <c r="N312" s="12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10">
        <v>26999.0</v>
      </c>
      <c r="B313" s="3">
        <v>63.6</v>
      </c>
      <c r="C313" s="3">
        <v>59.0</v>
      </c>
      <c r="D313" s="3">
        <v>56.0</v>
      </c>
      <c r="E313" s="3">
        <v>58.0</v>
      </c>
      <c r="F313" s="3">
        <v>92.8</v>
      </c>
      <c r="G313" s="3">
        <v>63.8</v>
      </c>
      <c r="H313" s="11"/>
      <c r="I313" s="3">
        <v>94.2</v>
      </c>
      <c r="J313" s="11"/>
      <c r="K313" s="11"/>
      <c r="L313" s="11"/>
      <c r="M313" s="12">
        <f>(PMI!$D313+PMI!$E313)/2</f>
        <v>57</v>
      </c>
      <c r="N313" s="12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10">
        <v>27030.0</v>
      </c>
      <c r="B314" s="3">
        <v>62.1</v>
      </c>
      <c r="C314" s="3">
        <v>55.7</v>
      </c>
      <c r="D314" s="3">
        <v>55.9</v>
      </c>
      <c r="E314" s="3">
        <v>57.3</v>
      </c>
      <c r="F314" s="3">
        <v>91.8</v>
      </c>
      <c r="G314" s="3">
        <v>62.0</v>
      </c>
      <c r="H314" s="11"/>
      <c r="I314" s="3">
        <v>95.3</v>
      </c>
      <c r="J314" s="11"/>
      <c r="K314" s="11"/>
      <c r="L314" s="11"/>
      <c r="M314" s="12">
        <f>(PMI!$D314+PMI!$E314)/2</f>
        <v>56.6</v>
      </c>
      <c r="N314" s="12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10">
        <v>27061.0</v>
      </c>
      <c r="B315" s="3">
        <v>58.6</v>
      </c>
      <c r="C315" s="3">
        <v>56.0</v>
      </c>
      <c r="D315" s="3">
        <v>49.7</v>
      </c>
      <c r="E315" s="3">
        <v>51.0</v>
      </c>
      <c r="F315" s="3">
        <v>88.8</v>
      </c>
      <c r="G315" s="3">
        <v>58.8</v>
      </c>
      <c r="H315" s="11"/>
      <c r="I315" s="3">
        <v>93.6</v>
      </c>
      <c r="J315" s="11"/>
      <c r="K315" s="11"/>
      <c r="L315" s="11"/>
      <c r="M315" s="12">
        <f>(PMI!$D315+PMI!$E315)/2</f>
        <v>50.35</v>
      </c>
      <c r="N315" s="12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10">
        <v>27089.0</v>
      </c>
      <c r="B316" s="3">
        <v>61.8</v>
      </c>
      <c r="C316" s="3">
        <v>58.0</v>
      </c>
      <c r="D316" s="3">
        <v>55.8</v>
      </c>
      <c r="E316" s="3">
        <v>56.3</v>
      </c>
      <c r="F316" s="3">
        <v>88.9</v>
      </c>
      <c r="G316" s="3">
        <v>59.1</v>
      </c>
      <c r="H316" s="11"/>
      <c r="I316" s="3">
        <v>94.0</v>
      </c>
      <c r="J316" s="11"/>
      <c r="K316" s="11"/>
      <c r="L316" s="11"/>
      <c r="M316" s="12">
        <f>(PMI!$D316+PMI!$E316)/2</f>
        <v>56.05</v>
      </c>
      <c r="N316" s="12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10">
        <v>27120.0</v>
      </c>
      <c r="B317" s="3">
        <v>59.9</v>
      </c>
      <c r="C317" s="3">
        <v>56.4</v>
      </c>
      <c r="D317" s="3">
        <v>54.5</v>
      </c>
      <c r="E317" s="3">
        <v>53.9</v>
      </c>
      <c r="F317" s="3">
        <v>82.1</v>
      </c>
      <c r="G317" s="3">
        <v>62.5</v>
      </c>
      <c r="H317" s="11"/>
      <c r="I317" s="3">
        <v>93.5</v>
      </c>
      <c r="J317" s="11"/>
      <c r="K317" s="11"/>
      <c r="L317" s="11"/>
      <c r="M317" s="12">
        <f>(PMI!$D317+PMI!$E317)/2</f>
        <v>54.2</v>
      </c>
      <c r="N317" s="12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10">
        <v>27150.0</v>
      </c>
      <c r="B318" s="3">
        <v>55.7</v>
      </c>
      <c r="C318" s="3">
        <v>51.6</v>
      </c>
      <c r="D318" s="3">
        <v>51.6</v>
      </c>
      <c r="E318" s="3">
        <v>51.1</v>
      </c>
      <c r="F318" s="3">
        <v>74.5</v>
      </c>
      <c r="G318" s="3">
        <v>59.3</v>
      </c>
      <c r="H318" s="11"/>
      <c r="I318" s="3">
        <v>92.3</v>
      </c>
      <c r="J318" s="11"/>
      <c r="K318" s="11"/>
      <c r="L318" s="11"/>
      <c r="M318" s="12">
        <f>(PMI!$D318+PMI!$E318)/2</f>
        <v>51.35</v>
      </c>
      <c r="N318" s="12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10">
        <v>27181.0</v>
      </c>
      <c r="B319" s="3">
        <v>54.7</v>
      </c>
      <c r="C319" s="3">
        <v>51.9</v>
      </c>
      <c r="D319" s="3">
        <v>50.4</v>
      </c>
      <c r="E319" s="3">
        <v>49.9</v>
      </c>
      <c r="F319" s="3">
        <v>73.1</v>
      </c>
      <c r="G319" s="3">
        <v>55.9</v>
      </c>
      <c r="H319" s="11"/>
      <c r="I319" s="3">
        <v>88.6</v>
      </c>
      <c r="J319" s="11"/>
      <c r="K319" s="11"/>
      <c r="L319" s="11"/>
      <c r="M319" s="12">
        <f>(PMI!$D319+PMI!$E319)/2</f>
        <v>50.15</v>
      </c>
      <c r="N319" s="12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10">
        <v>27211.0</v>
      </c>
      <c r="B320" s="3">
        <v>54.8</v>
      </c>
      <c r="C320" s="3">
        <v>52.6</v>
      </c>
      <c r="D320" s="3">
        <v>52.0</v>
      </c>
      <c r="E320" s="3">
        <v>50.3</v>
      </c>
      <c r="F320" s="3">
        <v>69.2</v>
      </c>
      <c r="G320" s="3">
        <v>54.8</v>
      </c>
      <c r="H320" s="11"/>
      <c r="I320" s="3">
        <v>90.4</v>
      </c>
      <c r="J320" s="11"/>
      <c r="K320" s="11"/>
      <c r="L320" s="11"/>
      <c r="M320" s="12">
        <f>(PMI!$D320+PMI!$E320)/2</f>
        <v>51.15</v>
      </c>
      <c r="N320" s="12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10">
        <v>27242.0</v>
      </c>
      <c r="B321" s="3">
        <v>52.9</v>
      </c>
      <c r="C321" s="3">
        <v>50.2</v>
      </c>
      <c r="D321" s="3">
        <v>49.6</v>
      </c>
      <c r="E321" s="3">
        <v>49.2</v>
      </c>
      <c r="F321" s="3">
        <v>66.3</v>
      </c>
      <c r="G321" s="3">
        <v>57.0</v>
      </c>
      <c r="H321" s="11"/>
      <c r="I321" s="3">
        <v>86.1</v>
      </c>
      <c r="J321" s="11"/>
      <c r="K321" s="11"/>
      <c r="L321" s="11"/>
      <c r="M321" s="12">
        <f>(PMI!$D321+PMI!$E321)/2</f>
        <v>49.4</v>
      </c>
      <c r="N321" s="12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10">
        <v>27273.0</v>
      </c>
      <c r="B322" s="3">
        <v>46.2</v>
      </c>
      <c r="C322" s="3">
        <v>41.2</v>
      </c>
      <c r="D322" s="3">
        <v>46.3</v>
      </c>
      <c r="E322" s="3">
        <v>44.9</v>
      </c>
      <c r="F322" s="3">
        <v>51.8</v>
      </c>
      <c r="G322" s="3">
        <v>54.8</v>
      </c>
      <c r="H322" s="11"/>
      <c r="I322" s="3">
        <v>81.0</v>
      </c>
      <c r="J322" s="11"/>
      <c r="K322" s="11"/>
      <c r="L322" s="11"/>
      <c r="M322" s="12">
        <f>(PMI!$D322+PMI!$E322)/2</f>
        <v>45.6</v>
      </c>
      <c r="N322" s="12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10">
        <v>27303.0</v>
      </c>
      <c r="B323" s="3">
        <v>42.7</v>
      </c>
      <c r="C323" s="3">
        <v>36.5</v>
      </c>
      <c r="D323" s="3">
        <v>44.3</v>
      </c>
      <c r="E323" s="3">
        <v>45.4</v>
      </c>
      <c r="F323" s="3">
        <v>45.3</v>
      </c>
      <c r="G323" s="3">
        <v>47.9</v>
      </c>
      <c r="H323" s="11"/>
      <c r="I323" s="3">
        <v>75.7</v>
      </c>
      <c r="J323" s="11"/>
      <c r="K323" s="11"/>
      <c r="L323" s="11"/>
      <c r="M323" s="12">
        <f>(PMI!$D323+PMI!$E323)/2</f>
        <v>44.85</v>
      </c>
      <c r="N323" s="12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10">
        <v>27334.0</v>
      </c>
      <c r="B324" s="3">
        <v>37.9</v>
      </c>
      <c r="C324" s="3">
        <v>33.1</v>
      </c>
      <c r="D324" s="3">
        <v>40.9</v>
      </c>
      <c r="E324" s="3">
        <v>39.6</v>
      </c>
      <c r="F324" s="3">
        <v>34.0</v>
      </c>
      <c r="G324" s="3">
        <v>47.2</v>
      </c>
      <c r="H324" s="11"/>
      <c r="I324" s="3">
        <v>71.0</v>
      </c>
      <c r="J324" s="11"/>
      <c r="K324" s="11"/>
      <c r="L324" s="11"/>
      <c r="M324" s="12">
        <f>(PMI!$D324+PMI!$E324)/2</f>
        <v>40.25</v>
      </c>
      <c r="N324" s="12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10">
        <v>27364.0</v>
      </c>
      <c r="B325" s="3">
        <v>30.9</v>
      </c>
      <c r="C325" s="3">
        <v>27.9</v>
      </c>
      <c r="D325" s="3">
        <v>33.4</v>
      </c>
      <c r="E325" s="3">
        <v>33.3</v>
      </c>
      <c r="F325" s="3">
        <v>23.2</v>
      </c>
      <c r="G325" s="3">
        <v>40.6</v>
      </c>
      <c r="H325" s="11"/>
      <c r="I325" s="3">
        <v>64.7</v>
      </c>
      <c r="J325" s="11"/>
      <c r="K325" s="11"/>
      <c r="L325" s="11"/>
      <c r="M325" s="12">
        <f>(PMI!$D325+PMI!$E325)/2</f>
        <v>33.35</v>
      </c>
      <c r="N325" s="12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10">
        <v>27395.0</v>
      </c>
      <c r="B326" s="3">
        <v>30.7</v>
      </c>
      <c r="C326" s="3">
        <v>32.8</v>
      </c>
      <c r="D326" s="3">
        <v>33.4</v>
      </c>
      <c r="E326" s="3">
        <v>29.7</v>
      </c>
      <c r="F326" s="3">
        <v>19.5</v>
      </c>
      <c r="G326" s="3">
        <v>36.6</v>
      </c>
      <c r="H326" s="11"/>
      <c r="I326" s="3">
        <v>54.1</v>
      </c>
      <c r="J326" s="11"/>
      <c r="K326" s="11"/>
      <c r="L326" s="11"/>
      <c r="M326" s="12">
        <f>(PMI!$D326+PMI!$E326)/2</f>
        <v>31.55</v>
      </c>
      <c r="N326" s="12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10">
        <v>27426.0</v>
      </c>
      <c r="B327" s="3">
        <v>34.4</v>
      </c>
      <c r="C327" s="3">
        <v>40.0</v>
      </c>
      <c r="D327" s="3">
        <v>41.5</v>
      </c>
      <c r="E327" s="3">
        <v>33.1</v>
      </c>
      <c r="F327" s="3">
        <v>15.9</v>
      </c>
      <c r="G327" s="3">
        <v>30.6</v>
      </c>
      <c r="H327" s="11"/>
      <c r="I327" s="3">
        <v>48.8</v>
      </c>
      <c r="J327" s="11"/>
      <c r="K327" s="11"/>
      <c r="L327" s="11"/>
      <c r="M327" s="12">
        <f>(PMI!$D327+PMI!$E327)/2</f>
        <v>37.3</v>
      </c>
      <c r="N327" s="12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10">
        <v>27454.0</v>
      </c>
      <c r="B328" s="3">
        <v>31.6</v>
      </c>
      <c r="C328" s="3">
        <v>37.0</v>
      </c>
      <c r="D328" s="3">
        <v>33.1</v>
      </c>
      <c r="E328" s="3">
        <v>32.8</v>
      </c>
      <c r="F328" s="3">
        <v>17.3</v>
      </c>
      <c r="G328" s="3">
        <v>30.9</v>
      </c>
      <c r="H328" s="11"/>
      <c r="I328" s="3">
        <v>42.7</v>
      </c>
      <c r="J328" s="11"/>
      <c r="K328" s="11"/>
      <c r="L328" s="11"/>
      <c r="M328" s="12">
        <f>(PMI!$D328+PMI!$E328)/2</f>
        <v>32.95</v>
      </c>
      <c r="N328" s="12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10">
        <v>27485.0</v>
      </c>
      <c r="B329" s="3">
        <v>37.5</v>
      </c>
      <c r="C329" s="3">
        <v>42.6</v>
      </c>
      <c r="D329" s="3">
        <v>45.5</v>
      </c>
      <c r="E329" s="3">
        <v>36.9</v>
      </c>
      <c r="F329" s="3">
        <v>21.7</v>
      </c>
      <c r="G329" s="3">
        <v>26.9</v>
      </c>
      <c r="H329" s="11"/>
      <c r="I329" s="3">
        <v>42.6</v>
      </c>
      <c r="J329" s="11"/>
      <c r="K329" s="11"/>
      <c r="L329" s="11"/>
      <c r="M329" s="12">
        <f>(PMI!$D329+PMI!$E329)/2</f>
        <v>41.2</v>
      </c>
      <c r="N329" s="12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10">
        <v>27515.0</v>
      </c>
      <c r="B330" s="3">
        <v>41.2</v>
      </c>
      <c r="C330" s="3">
        <v>47.2</v>
      </c>
      <c r="D330" s="3">
        <v>50.5</v>
      </c>
      <c r="E330" s="3">
        <v>39.6</v>
      </c>
      <c r="F330" s="3">
        <v>22.7</v>
      </c>
      <c r="G330" s="3">
        <v>31.0</v>
      </c>
      <c r="H330" s="11"/>
      <c r="I330" s="3">
        <v>45.4</v>
      </c>
      <c r="J330" s="11"/>
      <c r="K330" s="11"/>
      <c r="L330" s="11"/>
      <c r="M330" s="12">
        <f>(PMI!$D330+PMI!$E330)/2</f>
        <v>45.05</v>
      </c>
      <c r="N330" s="12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10">
        <v>27546.0</v>
      </c>
      <c r="B331" s="3">
        <v>45.1</v>
      </c>
      <c r="C331" s="3">
        <v>54.9</v>
      </c>
      <c r="D331" s="3">
        <v>53.1</v>
      </c>
      <c r="E331" s="3">
        <v>43.9</v>
      </c>
      <c r="F331" s="3">
        <v>24.9</v>
      </c>
      <c r="G331" s="3">
        <v>28.7</v>
      </c>
      <c r="H331" s="11"/>
      <c r="I331" s="3">
        <v>44.0</v>
      </c>
      <c r="J331" s="11"/>
      <c r="K331" s="11"/>
      <c r="L331" s="11"/>
      <c r="M331" s="12">
        <f>(PMI!$D331+PMI!$E331)/2</f>
        <v>48.5</v>
      </c>
      <c r="N331" s="12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10">
        <v>27576.0</v>
      </c>
      <c r="B332" s="3">
        <v>47.2</v>
      </c>
      <c r="C332" s="3">
        <v>58.4</v>
      </c>
      <c r="D332" s="3">
        <v>55.8</v>
      </c>
      <c r="E332" s="3">
        <v>44.3</v>
      </c>
      <c r="F332" s="3">
        <v>28.7</v>
      </c>
      <c r="G332" s="3">
        <v>24.6</v>
      </c>
      <c r="H332" s="11"/>
      <c r="I332" s="3">
        <v>53.0</v>
      </c>
      <c r="J332" s="11"/>
      <c r="K332" s="11"/>
      <c r="L332" s="11"/>
      <c r="M332" s="12">
        <f>(PMI!$D332+PMI!$E332)/2</f>
        <v>50.05</v>
      </c>
      <c r="N332" s="12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10">
        <v>27607.0</v>
      </c>
      <c r="B333" s="3">
        <v>51.4</v>
      </c>
      <c r="C333" s="3">
        <v>60.3</v>
      </c>
      <c r="D333" s="3">
        <v>61.1</v>
      </c>
      <c r="E333" s="3">
        <v>49.7</v>
      </c>
      <c r="F333" s="3">
        <v>35.1</v>
      </c>
      <c r="G333" s="3">
        <v>28.1</v>
      </c>
      <c r="H333" s="11"/>
      <c r="I333" s="3">
        <v>68.8</v>
      </c>
      <c r="J333" s="11"/>
      <c r="K333" s="11"/>
      <c r="L333" s="11"/>
      <c r="M333" s="12">
        <f>(PMI!$D333+PMI!$E333)/2</f>
        <v>55.4</v>
      </c>
      <c r="N333" s="12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10">
        <v>27638.0</v>
      </c>
      <c r="B334" s="3">
        <v>54.4</v>
      </c>
      <c r="C334" s="3">
        <v>60.4</v>
      </c>
      <c r="D334" s="3">
        <v>62.3</v>
      </c>
      <c r="E334" s="3">
        <v>53.5</v>
      </c>
      <c r="F334" s="3">
        <v>43.8</v>
      </c>
      <c r="G334" s="3">
        <v>34.2</v>
      </c>
      <c r="H334" s="11"/>
      <c r="I334" s="3">
        <v>73.6</v>
      </c>
      <c r="J334" s="11"/>
      <c r="K334" s="11"/>
      <c r="L334" s="11"/>
      <c r="M334" s="12">
        <f>(PMI!$D334+PMI!$E334)/2</f>
        <v>57.9</v>
      </c>
      <c r="N334" s="12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10">
        <v>27668.0</v>
      </c>
      <c r="B335" s="3">
        <v>55.5</v>
      </c>
      <c r="C335" s="3">
        <v>64.2</v>
      </c>
      <c r="D335" s="3">
        <v>62.3</v>
      </c>
      <c r="E335" s="3">
        <v>48.9</v>
      </c>
      <c r="F335" s="3">
        <v>44.8</v>
      </c>
      <c r="G335" s="3">
        <v>41.9</v>
      </c>
      <c r="H335" s="11"/>
      <c r="I335" s="3">
        <v>75.3</v>
      </c>
      <c r="J335" s="11"/>
      <c r="K335" s="11"/>
      <c r="L335" s="11"/>
      <c r="M335" s="12">
        <f>(PMI!$D335+PMI!$E335)/2</f>
        <v>55.6</v>
      </c>
      <c r="N335" s="12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10">
        <v>27699.0</v>
      </c>
      <c r="B336" s="3">
        <v>54.5</v>
      </c>
      <c r="C336" s="3">
        <v>62.2</v>
      </c>
      <c r="D336" s="3">
        <v>60.0</v>
      </c>
      <c r="E336" s="3">
        <v>49.8</v>
      </c>
      <c r="F336" s="3">
        <v>46.8</v>
      </c>
      <c r="G336" s="3">
        <v>38.8</v>
      </c>
      <c r="H336" s="11"/>
      <c r="I336" s="3">
        <v>70.8</v>
      </c>
      <c r="J336" s="11"/>
      <c r="K336" s="11"/>
      <c r="L336" s="11"/>
      <c r="M336" s="12">
        <f>(PMI!$D336+PMI!$E336)/2</f>
        <v>54.9</v>
      </c>
      <c r="N336" s="12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10">
        <v>27729.0</v>
      </c>
      <c r="B337" s="3">
        <v>54.9</v>
      </c>
      <c r="C337" s="3">
        <v>63.1</v>
      </c>
      <c r="D337" s="3">
        <v>62.4</v>
      </c>
      <c r="E337" s="3">
        <v>50.8</v>
      </c>
      <c r="F337" s="3">
        <v>41.2</v>
      </c>
      <c r="G337" s="3">
        <v>40.2</v>
      </c>
      <c r="H337" s="11"/>
      <c r="I337" s="3">
        <v>64.4</v>
      </c>
      <c r="J337" s="11"/>
      <c r="K337" s="11"/>
      <c r="L337" s="11"/>
      <c r="M337" s="12">
        <f>(PMI!$D337+PMI!$E337)/2</f>
        <v>56.6</v>
      </c>
      <c r="N337" s="12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10">
        <v>27760.0</v>
      </c>
      <c r="B338" s="3">
        <v>58.8</v>
      </c>
      <c r="C338" s="3">
        <v>63.8</v>
      </c>
      <c r="D338" s="3">
        <v>65.6</v>
      </c>
      <c r="E338" s="3">
        <v>53.1</v>
      </c>
      <c r="F338" s="3">
        <v>54.0</v>
      </c>
      <c r="G338" s="3">
        <v>45.3</v>
      </c>
      <c r="H338" s="11"/>
      <c r="I338" s="3">
        <v>70.2</v>
      </c>
      <c r="J338" s="11"/>
      <c r="K338" s="11"/>
      <c r="L338" s="11"/>
      <c r="M338" s="12">
        <f>(PMI!$D338+PMI!$E338)/2</f>
        <v>59.35</v>
      </c>
      <c r="N338" s="12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10">
        <v>27791.0</v>
      </c>
      <c r="B339" s="3">
        <v>61.5</v>
      </c>
      <c r="C339" s="3">
        <v>68.7</v>
      </c>
      <c r="D339" s="3">
        <v>64.8</v>
      </c>
      <c r="E339" s="3">
        <v>57.3</v>
      </c>
      <c r="F339" s="3">
        <v>56.1</v>
      </c>
      <c r="G339" s="3">
        <v>48.2</v>
      </c>
      <c r="H339" s="11"/>
      <c r="I339" s="3">
        <v>73.2</v>
      </c>
      <c r="J339" s="11"/>
      <c r="K339" s="11"/>
      <c r="L339" s="11"/>
      <c r="M339" s="12">
        <f>(PMI!$D339+PMI!$E339)/2</f>
        <v>61.05</v>
      </c>
      <c r="N339" s="12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10">
        <v>27820.0</v>
      </c>
      <c r="B340" s="3">
        <v>58.4</v>
      </c>
      <c r="C340" s="3">
        <v>61.6</v>
      </c>
      <c r="D340" s="3">
        <v>63.3</v>
      </c>
      <c r="E340" s="3">
        <v>54.9</v>
      </c>
      <c r="F340" s="3">
        <v>56.7</v>
      </c>
      <c r="G340" s="3">
        <v>46.7</v>
      </c>
      <c r="H340" s="11"/>
      <c r="I340" s="3">
        <v>74.3</v>
      </c>
      <c r="J340" s="11"/>
      <c r="K340" s="11"/>
      <c r="L340" s="11"/>
      <c r="M340" s="12">
        <f>(PMI!$D340+PMI!$E340)/2</f>
        <v>59.1</v>
      </c>
      <c r="N340" s="12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10">
        <v>27851.0</v>
      </c>
      <c r="B341" s="3">
        <v>60.6</v>
      </c>
      <c r="C341" s="3">
        <v>65.2</v>
      </c>
      <c r="D341" s="3">
        <v>64.1</v>
      </c>
      <c r="E341" s="3">
        <v>56.4</v>
      </c>
      <c r="F341" s="3">
        <v>57.3</v>
      </c>
      <c r="G341" s="3">
        <v>51.4</v>
      </c>
      <c r="H341" s="11"/>
      <c r="I341" s="3">
        <v>75.9</v>
      </c>
      <c r="J341" s="11"/>
      <c r="K341" s="11"/>
      <c r="L341" s="11"/>
      <c r="M341" s="12">
        <f>(PMI!$D341+PMI!$E341)/2</f>
        <v>60.25</v>
      </c>
      <c r="N341" s="12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10">
        <v>27881.0</v>
      </c>
      <c r="B342" s="3">
        <v>58.8</v>
      </c>
      <c r="C342" s="3">
        <v>62.3</v>
      </c>
      <c r="D342" s="3">
        <v>60.5</v>
      </c>
      <c r="E342" s="3">
        <v>55.4</v>
      </c>
      <c r="F342" s="3">
        <v>58.3</v>
      </c>
      <c r="G342" s="3">
        <v>51.6</v>
      </c>
      <c r="H342" s="11"/>
      <c r="I342" s="3">
        <v>78.0</v>
      </c>
      <c r="J342" s="11"/>
      <c r="K342" s="11"/>
      <c r="L342" s="11"/>
      <c r="M342" s="12">
        <f>(PMI!$D342+PMI!$E342)/2</f>
        <v>57.95</v>
      </c>
      <c r="N342" s="12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10">
        <v>27912.0</v>
      </c>
      <c r="B343" s="3">
        <v>58.2</v>
      </c>
      <c r="C343" s="3">
        <v>60.6</v>
      </c>
      <c r="D343" s="3">
        <v>60.5</v>
      </c>
      <c r="E343" s="3">
        <v>54.3</v>
      </c>
      <c r="F343" s="3">
        <v>58.6</v>
      </c>
      <c r="G343" s="3">
        <v>52.6</v>
      </c>
      <c r="H343" s="11"/>
      <c r="I343" s="3">
        <v>80.1</v>
      </c>
      <c r="J343" s="11"/>
      <c r="K343" s="11"/>
      <c r="L343" s="11"/>
      <c r="M343" s="12">
        <f>(PMI!$D343+PMI!$E343)/2</f>
        <v>57.4</v>
      </c>
      <c r="N343" s="12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10">
        <v>27942.0</v>
      </c>
      <c r="B344" s="3">
        <v>55.9</v>
      </c>
      <c r="C344" s="3">
        <v>58.0</v>
      </c>
      <c r="D344" s="3">
        <v>56.7</v>
      </c>
      <c r="E344" s="3">
        <v>55.1</v>
      </c>
      <c r="F344" s="3">
        <v>54.0</v>
      </c>
      <c r="G344" s="3">
        <v>50.5</v>
      </c>
      <c r="H344" s="11"/>
      <c r="I344" s="3">
        <v>84.2</v>
      </c>
      <c r="J344" s="11"/>
      <c r="K344" s="11"/>
      <c r="L344" s="11"/>
      <c r="M344" s="12">
        <f>(PMI!$D344+PMI!$E344)/2</f>
        <v>55.9</v>
      </c>
      <c r="N344" s="12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10">
        <v>27973.0</v>
      </c>
      <c r="B345" s="3">
        <v>54.5</v>
      </c>
      <c r="C345" s="3">
        <v>57.7</v>
      </c>
      <c r="D345" s="3">
        <v>52.9</v>
      </c>
      <c r="E345" s="3">
        <v>52.1</v>
      </c>
      <c r="F345" s="3">
        <v>55.2</v>
      </c>
      <c r="G345" s="3">
        <v>52.4</v>
      </c>
      <c r="H345" s="11"/>
      <c r="I345" s="3">
        <v>73.3</v>
      </c>
      <c r="J345" s="11"/>
      <c r="K345" s="11"/>
      <c r="L345" s="11"/>
      <c r="M345" s="12">
        <f>(PMI!$D345+PMI!$E345)/2</f>
        <v>52.5</v>
      </c>
      <c r="N345" s="12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10">
        <v>28004.0</v>
      </c>
      <c r="B346" s="3">
        <v>53.6</v>
      </c>
      <c r="C346" s="3">
        <v>55.3</v>
      </c>
      <c r="D346" s="3">
        <v>53.2</v>
      </c>
      <c r="E346" s="3">
        <v>54.2</v>
      </c>
      <c r="F346" s="3">
        <v>52.6</v>
      </c>
      <c r="G346" s="3">
        <v>49.5</v>
      </c>
      <c r="H346" s="11"/>
      <c r="I346" s="3">
        <v>70.6</v>
      </c>
      <c r="J346" s="11"/>
      <c r="K346" s="11"/>
      <c r="L346" s="11"/>
      <c r="M346" s="12">
        <f>(PMI!$D346+PMI!$E346)/2</f>
        <v>53.7</v>
      </c>
      <c r="N346" s="12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10">
        <v>28034.0</v>
      </c>
      <c r="B347" s="3">
        <v>53.5</v>
      </c>
      <c r="C347" s="3">
        <v>57.0</v>
      </c>
      <c r="D347" s="3">
        <v>56.1</v>
      </c>
      <c r="E347" s="3">
        <v>50.2</v>
      </c>
      <c r="F347" s="3">
        <v>49.0</v>
      </c>
      <c r="G347" s="3">
        <v>50.0</v>
      </c>
      <c r="H347" s="11"/>
      <c r="I347" s="3">
        <v>67.1</v>
      </c>
      <c r="J347" s="11"/>
      <c r="K347" s="11"/>
      <c r="L347" s="11"/>
      <c r="M347" s="12">
        <f>(PMI!$D347+PMI!$E347)/2</f>
        <v>53.15</v>
      </c>
      <c r="N347" s="12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10">
        <v>28065.0</v>
      </c>
      <c r="B348" s="3">
        <v>51.7</v>
      </c>
      <c r="C348" s="3">
        <v>55.7</v>
      </c>
      <c r="D348" s="3">
        <v>54.4</v>
      </c>
      <c r="E348" s="3">
        <v>50.5</v>
      </c>
      <c r="F348" s="3">
        <v>47.2</v>
      </c>
      <c r="G348" s="3">
        <v>42.4</v>
      </c>
      <c r="H348" s="11"/>
      <c r="I348" s="3">
        <v>69.7</v>
      </c>
      <c r="J348" s="11"/>
      <c r="K348" s="11"/>
      <c r="L348" s="11"/>
      <c r="M348" s="12">
        <f>(PMI!$D348+PMI!$E348)/2</f>
        <v>52.45</v>
      </c>
      <c r="N348" s="12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10">
        <v>28095.0</v>
      </c>
      <c r="B349" s="3">
        <v>56.6</v>
      </c>
      <c r="C349" s="3">
        <v>58.9</v>
      </c>
      <c r="D349" s="3">
        <v>59.6</v>
      </c>
      <c r="E349" s="3">
        <v>53.8</v>
      </c>
      <c r="F349" s="3">
        <v>53.3</v>
      </c>
      <c r="G349" s="3">
        <v>52.8</v>
      </c>
      <c r="H349" s="11"/>
      <c r="I349" s="3">
        <v>75.8</v>
      </c>
      <c r="J349" s="11"/>
      <c r="K349" s="11"/>
      <c r="L349" s="11"/>
      <c r="M349" s="12">
        <f>(PMI!$D349+PMI!$E349)/2</f>
        <v>56.7</v>
      </c>
      <c r="N349" s="12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10">
        <v>28126.0</v>
      </c>
      <c r="B350" s="3">
        <v>54.8</v>
      </c>
      <c r="C350" s="3">
        <v>57.2</v>
      </c>
      <c r="D350" s="3">
        <v>56.9</v>
      </c>
      <c r="E350" s="3">
        <v>49.9</v>
      </c>
      <c r="F350" s="3">
        <v>55.3</v>
      </c>
      <c r="G350" s="3">
        <v>51.4</v>
      </c>
      <c r="H350" s="11"/>
      <c r="I350" s="3">
        <v>78.4</v>
      </c>
      <c r="J350" s="11"/>
      <c r="K350" s="11"/>
      <c r="L350" s="11"/>
      <c r="M350" s="12">
        <f>(PMI!$D350+PMI!$E350)/2</f>
        <v>53.4</v>
      </c>
      <c r="N350" s="12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10">
        <v>28157.0</v>
      </c>
      <c r="B351" s="3">
        <v>55.0</v>
      </c>
      <c r="C351" s="3">
        <v>56.8</v>
      </c>
      <c r="D351" s="3">
        <v>50.8</v>
      </c>
      <c r="E351" s="3">
        <v>51.5</v>
      </c>
      <c r="F351" s="3">
        <v>65.1</v>
      </c>
      <c r="G351" s="3">
        <v>51.9</v>
      </c>
      <c r="H351" s="11"/>
      <c r="I351" s="3">
        <v>76.8</v>
      </c>
      <c r="J351" s="11"/>
      <c r="K351" s="11"/>
      <c r="L351" s="11"/>
      <c r="M351" s="12">
        <f>(PMI!$D351+PMI!$E351)/2</f>
        <v>51.15</v>
      </c>
      <c r="N351" s="12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10">
        <v>28185.0</v>
      </c>
      <c r="B352" s="3">
        <v>58.4</v>
      </c>
      <c r="C352" s="3">
        <v>63.5</v>
      </c>
      <c r="D352" s="3">
        <v>62.5</v>
      </c>
      <c r="E352" s="3">
        <v>54.3</v>
      </c>
      <c r="F352" s="3">
        <v>49.6</v>
      </c>
      <c r="G352" s="3">
        <v>54.7</v>
      </c>
      <c r="H352" s="11"/>
      <c r="I352" s="3">
        <v>80.9</v>
      </c>
      <c r="J352" s="11"/>
      <c r="K352" s="11"/>
      <c r="L352" s="11"/>
      <c r="M352" s="12">
        <f>(PMI!$D352+PMI!$E352)/2</f>
        <v>58.4</v>
      </c>
      <c r="N352" s="12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10">
        <v>28216.0</v>
      </c>
      <c r="B353" s="3">
        <v>56.9</v>
      </c>
      <c r="C353" s="3">
        <v>60.3</v>
      </c>
      <c r="D353" s="3">
        <v>59.2</v>
      </c>
      <c r="E353" s="3">
        <v>51.9</v>
      </c>
      <c r="F353" s="3">
        <v>54.6</v>
      </c>
      <c r="G353" s="3">
        <v>54.4</v>
      </c>
      <c r="H353" s="11"/>
      <c r="I353" s="3">
        <v>78.8</v>
      </c>
      <c r="J353" s="11"/>
      <c r="K353" s="11"/>
      <c r="L353" s="11"/>
      <c r="M353" s="12">
        <f>(PMI!$D353+PMI!$E353)/2</f>
        <v>55.55</v>
      </c>
      <c r="N353" s="12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10">
        <v>28246.0</v>
      </c>
      <c r="B354" s="3">
        <v>59.7</v>
      </c>
      <c r="C354" s="3">
        <v>64.5</v>
      </c>
      <c r="D354" s="3">
        <v>63.0</v>
      </c>
      <c r="E354" s="3">
        <v>54.8</v>
      </c>
      <c r="F354" s="3">
        <v>55.4</v>
      </c>
      <c r="G354" s="3">
        <v>53.2</v>
      </c>
      <c r="H354" s="11"/>
      <c r="I354" s="3">
        <v>75.7</v>
      </c>
      <c r="J354" s="11"/>
      <c r="K354" s="11"/>
      <c r="L354" s="11"/>
      <c r="M354" s="12">
        <f>(PMI!$D354+PMI!$E354)/2</f>
        <v>58.9</v>
      </c>
      <c r="N354" s="12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10">
        <v>28277.0</v>
      </c>
      <c r="B355" s="3">
        <v>56.8</v>
      </c>
      <c r="C355" s="3">
        <v>58.1</v>
      </c>
      <c r="D355" s="3">
        <v>62.5</v>
      </c>
      <c r="E355" s="3">
        <v>52.5</v>
      </c>
      <c r="F355" s="3">
        <v>53.3</v>
      </c>
      <c r="G355" s="3">
        <v>52.6</v>
      </c>
      <c r="H355" s="11"/>
      <c r="I355" s="3">
        <v>71.9</v>
      </c>
      <c r="J355" s="11"/>
      <c r="K355" s="11"/>
      <c r="L355" s="11"/>
      <c r="M355" s="12">
        <f>(PMI!$D355+PMI!$E355)/2</f>
        <v>57.5</v>
      </c>
      <c r="N355" s="12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10">
        <v>28307.0</v>
      </c>
      <c r="B356" s="3">
        <v>57.7</v>
      </c>
      <c r="C356" s="3">
        <v>58.9</v>
      </c>
      <c r="D356" s="3">
        <v>60.6</v>
      </c>
      <c r="E356" s="3">
        <v>54.5</v>
      </c>
      <c r="F356" s="3">
        <v>58.3</v>
      </c>
      <c r="G356" s="3">
        <v>52.0</v>
      </c>
      <c r="H356" s="11"/>
      <c r="I356" s="3">
        <v>69.0</v>
      </c>
      <c r="J356" s="11"/>
      <c r="K356" s="11"/>
      <c r="L356" s="11"/>
      <c r="M356" s="12">
        <f>(PMI!$D356+PMI!$E356)/2</f>
        <v>57.55</v>
      </c>
      <c r="N356" s="12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10">
        <v>28338.0</v>
      </c>
      <c r="B357" s="3">
        <v>54.9</v>
      </c>
      <c r="C357" s="3">
        <v>58.8</v>
      </c>
      <c r="D357" s="3">
        <v>53.9</v>
      </c>
      <c r="E357" s="3">
        <v>53.6</v>
      </c>
      <c r="F357" s="3">
        <v>53.5</v>
      </c>
      <c r="G357" s="3">
        <v>50.0</v>
      </c>
      <c r="H357" s="11"/>
      <c r="I357" s="3">
        <v>70.4</v>
      </c>
      <c r="J357" s="11"/>
      <c r="K357" s="11"/>
      <c r="L357" s="11"/>
      <c r="M357" s="12">
        <f>(PMI!$D357+PMI!$E357)/2</f>
        <v>53.75</v>
      </c>
      <c r="N357" s="12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10">
        <v>28369.0</v>
      </c>
      <c r="B358" s="3">
        <v>53.9</v>
      </c>
      <c r="C358" s="3">
        <v>57.0</v>
      </c>
      <c r="D358" s="3">
        <v>54.9</v>
      </c>
      <c r="E358" s="3">
        <v>50.4</v>
      </c>
      <c r="F358" s="3">
        <v>56.7</v>
      </c>
      <c r="G358" s="3">
        <v>44.8</v>
      </c>
      <c r="H358" s="11"/>
      <c r="I358" s="3">
        <v>65.4</v>
      </c>
      <c r="J358" s="11"/>
      <c r="K358" s="11"/>
      <c r="L358" s="11"/>
      <c r="M358" s="12">
        <f>(PMI!$D358+PMI!$E358)/2</f>
        <v>52.65</v>
      </c>
      <c r="N358" s="12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10">
        <v>28399.0</v>
      </c>
      <c r="B359" s="3">
        <v>55.4</v>
      </c>
      <c r="C359" s="3">
        <v>57.1</v>
      </c>
      <c r="D359" s="3">
        <v>57.0</v>
      </c>
      <c r="E359" s="3">
        <v>56.0</v>
      </c>
      <c r="F359" s="3">
        <v>53.6</v>
      </c>
      <c r="G359" s="3">
        <v>47.9</v>
      </c>
      <c r="H359" s="11"/>
      <c r="I359" s="3">
        <v>64.5</v>
      </c>
      <c r="J359" s="11"/>
      <c r="K359" s="11"/>
      <c r="L359" s="11"/>
      <c r="M359" s="12">
        <f>(PMI!$D359+PMI!$E359)/2</f>
        <v>56.5</v>
      </c>
      <c r="N359" s="12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10">
        <v>28430.0</v>
      </c>
      <c r="B360" s="3">
        <v>56.1</v>
      </c>
      <c r="C360" s="3">
        <v>59.2</v>
      </c>
      <c r="D360" s="3">
        <v>58.7</v>
      </c>
      <c r="E360" s="3">
        <v>51.8</v>
      </c>
      <c r="F360" s="3">
        <v>56.3</v>
      </c>
      <c r="G360" s="3">
        <v>48.0</v>
      </c>
      <c r="H360" s="11"/>
      <c r="I360" s="3">
        <v>62.0</v>
      </c>
      <c r="J360" s="11"/>
      <c r="K360" s="11"/>
      <c r="L360" s="11"/>
      <c r="M360" s="12">
        <f>(PMI!$D360+PMI!$E360)/2</f>
        <v>55.25</v>
      </c>
      <c r="N360" s="12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10">
        <v>28460.0</v>
      </c>
      <c r="B361" s="3">
        <v>59.8</v>
      </c>
      <c r="C361" s="3">
        <v>60.7</v>
      </c>
      <c r="D361" s="3">
        <v>64.7</v>
      </c>
      <c r="E361" s="3">
        <v>59.8</v>
      </c>
      <c r="F361" s="3">
        <v>57.1</v>
      </c>
      <c r="G361" s="3">
        <v>48.9</v>
      </c>
      <c r="H361" s="11"/>
      <c r="I361" s="3">
        <v>67.2</v>
      </c>
      <c r="J361" s="11"/>
      <c r="K361" s="11"/>
      <c r="L361" s="11"/>
      <c r="M361" s="12">
        <f>(PMI!$D361+PMI!$E361)/2</f>
        <v>62.25</v>
      </c>
      <c r="N361" s="12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10">
        <v>28491.0</v>
      </c>
      <c r="B362" s="3">
        <v>57.4</v>
      </c>
      <c r="C362" s="3">
        <v>60.6</v>
      </c>
      <c r="D362" s="3">
        <v>57.7</v>
      </c>
      <c r="E362" s="3">
        <v>55.1</v>
      </c>
      <c r="F362" s="3">
        <v>55.6</v>
      </c>
      <c r="G362" s="3">
        <v>54.0</v>
      </c>
      <c r="H362" s="11"/>
      <c r="I362" s="3">
        <v>71.1</v>
      </c>
      <c r="J362" s="11"/>
      <c r="K362" s="11"/>
      <c r="L362" s="11"/>
      <c r="M362" s="12">
        <f>(PMI!$D362+PMI!$E362)/2</f>
        <v>56.4</v>
      </c>
      <c r="N362" s="12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10">
        <v>28522.0</v>
      </c>
      <c r="B363" s="3">
        <v>55.9</v>
      </c>
      <c r="C363" s="3">
        <v>56.2</v>
      </c>
      <c r="D363" s="3">
        <v>54.6</v>
      </c>
      <c r="E363" s="3">
        <v>52.8</v>
      </c>
      <c r="F363" s="3">
        <v>63.4</v>
      </c>
      <c r="G363" s="3">
        <v>54.0</v>
      </c>
      <c r="H363" s="11"/>
      <c r="I363" s="3">
        <v>74.4</v>
      </c>
      <c r="J363" s="11"/>
      <c r="K363" s="11"/>
      <c r="L363" s="11"/>
      <c r="M363" s="12">
        <f>(PMI!$D363+PMI!$E363)/2</f>
        <v>53.7</v>
      </c>
      <c r="N363" s="12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10">
        <v>28550.0</v>
      </c>
      <c r="B364" s="3">
        <v>55.0</v>
      </c>
      <c r="C364" s="3">
        <v>56.6</v>
      </c>
      <c r="D364" s="3">
        <v>57.0</v>
      </c>
      <c r="E364" s="3">
        <v>52.9</v>
      </c>
      <c r="F364" s="3">
        <v>58.9</v>
      </c>
      <c r="G364" s="3">
        <v>44.0</v>
      </c>
      <c r="H364" s="11"/>
      <c r="I364" s="3">
        <v>72.3</v>
      </c>
      <c r="J364" s="11"/>
      <c r="K364" s="11"/>
      <c r="L364" s="11"/>
      <c r="M364" s="12">
        <f>(PMI!$D364+PMI!$E364)/2</f>
        <v>54.95</v>
      </c>
      <c r="N364" s="12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10">
        <v>28581.0</v>
      </c>
      <c r="B365" s="3">
        <v>57.7</v>
      </c>
      <c r="C365" s="3">
        <v>60.2</v>
      </c>
      <c r="D365" s="3">
        <v>60.3</v>
      </c>
      <c r="E365" s="3">
        <v>53.8</v>
      </c>
      <c r="F365" s="3">
        <v>57.1</v>
      </c>
      <c r="G365" s="3">
        <v>52.4</v>
      </c>
      <c r="H365" s="11"/>
      <c r="I365" s="3">
        <v>78.7</v>
      </c>
      <c r="J365" s="11"/>
      <c r="K365" s="11"/>
      <c r="L365" s="11"/>
      <c r="M365" s="12">
        <f>(PMI!$D365+PMI!$E365)/2</f>
        <v>57.05</v>
      </c>
      <c r="N365" s="12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10">
        <v>28611.0</v>
      </c>
      <c r="B366" s="3">
        <v>60.2</v>
      </c>
      <c r="C366" s="3">
        <v>63.9</v>
      </c>
      <c r="D366" s="3">
        <v>62.3</v>
      </c>
      <c r="E366" s="3">
        <v>57.0</v>
      </c>
      <c r="F366" s="3">
        <v>57.4</v>
      </c>
      <c r="G366" s="3">
        <v>54.5</v>
      </c>
      <c r="H366" s="11"/>
      <c r="I366" s="3">
        <v>81.8</v>
      </c>
      <c r="J366" s="11"/>
      <c r="K366" s="11"/>
      <c r="L366" s="11"/>
      <c r="M366" s="12">
        <f>(PMI!$D366+PMI!$E366)/2</f>
        <v>59.65</v>
      </c>
      <c r="N366" s="12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10">
        <v>28642.0</v>
      </c>
      <c r="B367" s="3">
        <v>60.5</v>
      </c>
      <c r="C367" s="3">
        <v>63.6</v>
      </c>
      <c r="D367" s="3">
        <v>61.7</v>
      </c>
      <c r="E367" s="3">
        <v>57.2</v>
      </c>
      <c r="F367" s="3">
        <v>61.1</v>
      </c>
      <c r="G367" s="3">
        <v>54.2</v>
      </c>
      <c r="H367" s="11"/>
      <c r="I367" s="3">
        <v>82.3</v>
      </c>
      <c r="J367" s="11"/>
      <c r="K367" s="11"/>
      <c r="L367" s="11"/>
      <c r="M367" s="12">
        <f>(PMI!$D367+PMI!$E367)/2</f>
        <v>59.45</v>
      </c>
      <c r="N367" s="12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10">
        <v>28672.0</v>
      </c>
      <c r="B368" s="3">
        <v>62.2</v>
      </c>
      <c r="C368" s="3">
        <v>64.7</v>
      </c>
      <c r="D368" s="3">
        <v>65.1</v>
      </c>
      <c r="E368" s="3">
        <v>58.8</v>
      </c>
      <c r="F368" s="3">
        <v>59.4</v>
      </c>
      <c r="G368" s="3">
        <v>57.7</v>
      </c>
      <c r="H368" s="11"/>
      <c r="I368" s="3">
        <v>83.0</v>
      </c>
      <c r="J368" s="11"/>
      <c r="K368" s="11"/>
      <c r="L368" s="11"/>
      <c r="M368" s="12">
        <f>(PMI!$D368+PMI!$E368)/2</f>
        <v>61.95</v>
      </c>
      <c r="N368" s="12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10">
        <v>28703.0</v>
      </c>
      <c r="B369" s="3">
        <v>60.3</v>
      </c>
      <c r="C369" s="3">
        <v>61.3</v>
      </c>
      <c r="D369" s="3">
        <v>64.9</v>
      </c>
      <c r="E369" s="3">
        <v>55.3</v>
      </c>
      <c r="F369" s="3">
        <v>60.6</v>
      </c>
      <c r="G369" s="3">
        <v>55.4</v>
      </c>
      <c r="H369" s="11"/>
      <c r="I369" s="3">
        <v>85.4</v>
      </c>
      <c r="J369" s="11"/>
      <c r="K369" s="11"/>
      <c r="L369" s="11"/>
      <c r="M369" s="12">
        <f>(PMI!$D369+PMI!$E369)/2</f>
        <v>60.1</v>
      </c>
      <c r="N369" s="12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10">
        <v>28734.0</v>
      </c>
      <c r="B370" s="3">
        <v>60.5</v>
      </c>
      <c r="C370" s="3">
        <v>61.3</v>
      </c>
      <c r="D370" s="3">
        <v>65.0</v>
      </c>
      <c r="E370" s="3">
        <v>57.2</v>
      </c>
      <c r="F370" s="3">
        <v>60.0</v>
      </c>
      <c r="G370" s="3">
        <v>54.5</v>
      </c>
      <c r="H370" s="11"/>
      <c r="I370" s="3">
        <v>86.8</v>
      </c>
      <c r="J370" s="11"/>
      <c r="K370" s="11"/>
      <c r="L370" s="11"/>
      <c r="M370" s="12">
        <f>(PMI!$D370+PMI!$E370)/2</f>
        <v>61.1</v>
      </c>
      <c r="N370" s="12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10">
        <v>28764.0</v>
      </c>
      <c r="B371" s="3">
        <v>60.1</v>
      </c>
      <c r="C371" s="3">
        <v>58.8</v>
      </c>
      <c r="D371" s="3">
        <v>62.0</v>
      </c>
      <c r="E371" s="3">
        <v>57.9</v>
      </c>
      <c r="F371" s="3">
        <v>64.7</v>
      </c>
      <c r="G371" s="3">
        <v>56.1</v>
      </c>
      <c r="H371" s="11"/>
      <c r="I371" s="3">
        <v>86.8</v>
      </c>
      <c r="J371" s="11"/>
      <c r="K371" s="11"/>
      <c r="L371" s="11"/>
      <c r="M371" s="12">
        <f>(PMI!$D371+PMI!$E371)/2</f>
        <v>59.95</v>
      </c>
      <c r="N371" s="12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10">
        <v>28795.0</v>
      </c>
      <c r="B372" s="3">
        <v>61.3</v>
      </c>
      <c r="C372" s="3">
        <v>61.9</v>
      </c>
      <c r="D372" s="3">
        <v>61.3</v>
      </c>
      <c r="E372" s="3">
        <v>60.4</v>
      </c>
      <c r="F372" s="3">
        <v>64.5</v>
      </c>
      <c r="G372" s="3">
        <v>56.7</v>
      </c>
      <c r="H372" s="11"/>
      <c r="I372" s="3">
        <v>84.1</v>
      </c>
      <c r="J372" s="11"/>
      <c r="K372" s="11"/>
      <c r="L372" s="11"/>
      <c r="M372" s="12">
        <f>(PMI!$D372+PMI!$E372)/2</f>
        <v>60.85</v>
      </c>
      <c r="N372" s="12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10">
        <v>28825.0</v>
      </c>
      <c r="B373" s="3">
        <v>59.4</v>
      </c>
      <c r="C373" s="3">
        <v>59.9</v>
      </c>
      <c r="D373" s="3">
        <v>60.4</v>
      </c>
      <c r="E373" s="3">
        <v>56.9</v>
      </c>
      <c r="F373" s="3">
        <v>63.5</v>
      </c>
      <c r="G373" s="3">
        <v>53.9</v>
      </c>
      <c r="H373" s="11"/>
      <c r="I373" s="3">
        <v>84.5</v>
      </c>
      <c r="J373" s="11"/>
      <c r="K373" s="11"/>
      <c r="L373" s="11"/>
      <c r="M373" s="12">
        <f>(PMI!$D373+PMI!$E373)/2</f>
        <v>58.65</v>
      </c>
      <c r="N373" s="12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10">
        <v>28856.0</v>
      </c>
      <c r="B374" s="3">
        <v>58.5</v>
      </c>
      <c r="C374" s="3">
        <v>57.3</v>
      </c>
      <c r="D374" s="3">
        <v>58.8</v>
      </c>
      <c r="E374" s="3">
        <v>57.3</v>
      </c>
      <c r="F374" s="3">
        <v>66.4</v>
      </c>
      <c r="G374" s="3">
        <v>52.3</v>
      </c>
      <c r="H374" s="11"/>
      <c r="I374" s="3">
        <v>85.8</v>
      </c>
      <c r="J374" s="11"/>
      <c r="K374" s="11"/>
      <c r="L374" s="11"/>
      <c r="M374" s="12">
        <f>(PMI!$D374+PMI!$E374)/2</f>
        <v>58.05</v>
      </c>
      <c r="N374" s="12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10">
        <v>28887.0</v>
      </c>
      <c r="B375" s="3">
        <v>58.2</v>
      </c>
      <c r="C375" s="3">
        <v>58.6</v>
      </c>
      <c r="D375" s="3">
        <v>59.0</v>
      </c>
      <c r="E375" s="3">
        <v>55.6</v>
      </c>
      <c r="F375" s="3">
        <v>64.0</v>
      </c>
      <c r="G375" s="3">
        <v>51.4</v>
      </c>
      <c r="H375" s="11"/>
      <c r="I375" s="3">
        <v>86.5</v>
      </c>
      <c r="J375" s="11"/>
      <c r="K375" s="11"/>
      <c r="L375" s="11"/>
      <c r="M375" s="12">
        <f>(PMI!$D375+PMI!$E375)/2</f>
        <v>57.3</v>
      </c>
      <c r="N375" s="12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10">
        <v>28915.0</v>
      </c>
      <c r="B376" s="3">
        <v>57.7</v>
      </c>
      <c r="C376" s="3">
        <v>56.7</v>
      </c>
      <c r="D376" s="3">
        <v>57.4</v>
      </c>
      <c r="E376" s="3">
        <v>54.8</v>
      </c>
      <c r="F376" s="3">
        <v>66.7</v>
      </c>
      <c r="G376" s="3">
        <v>54.1</v>
      </c>
      <c r="H376" s="11"/>
      <c r="I376" s="3">
        <v>87.7</v>
      </c>
      <c r="J376" s="11"/>
      <c r="K376" s="11"/>
      <c r="L376" s="11"/>
      <c r="M376" s="12">
        <f>(PMI!$D376+PMI!$E376)/2</f>
        <v>56.1</v>
      </c>
      <c r="N376" s="12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10">
        <v>28946.0</v>
      </c>
      <c r="B377" s="3">
        <v>56.2</v>
      </c>
      <c r="C377" s="3">
        <v>55.1</v>
      </c>
      <c r="D377" s="3">
        <v>55.5</v>
      </c>
      <c r="E377" s="3">
        <v>46.9</v>
      </c>
      <c r="F377" s="3">
        <v>75.6</v>
      </c>
      <c r="G377" s="3">
        <v>50.9</v>
      </c>
      <c r="H377" s="11"/>
      <c r="I377" s="3">
        <v>86.3</v>
      </c>
      <c r="J377" s="11"/>
      <c r="K377" s="11"/>
      <c r="L377" s="11"/>
      <c r="M377" s="12">
        <f>(PMI!$D377+PMI!$E377)/2</f>
        <v>51.2</v>
      </c>
      <c r="N377" s="12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10">
        <v>28976.0</v>
      </c>
      <c r="B378" s="3">
        <v>54.4</v>
      </c>
      <c r="C378" s="3">
        <v>52.1</v>
      </c>
      <c r="D378" s="3">
        <v>52.1</v>
      </c>
      <c r="E378" s="3">
        <v>54.5</v>
      </c>
      <c r="F378" s="3">
        <v>63.7</v>
      </c>
      <c r="G378" s="3">
        <v>53.3</v>
      </c>
      <c r="H378" s="11"/>
      <c r="I378" s="3">
        <v>86.9</v>
      </c>
      <c r="J378" s="11"/>
      <c r="K378" s="11"/>
      <c r="L378" s="11"/>
      <c r="M378" s="12">
        <f>(PMI!$D378+PMI!$E378)/2</f>
        <v>53.3</v>
      </c>
      <c r="N378" s="12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10">
        <v>29007.0</v>
      </c>
      <c r="B379" s="3">
        <v>52.7</v>
      </c>
      <c r="C379" s="3">
        <v>49.4</v>
      </c>
      <c r="D379" s="3">
        <v>50.2</v>
      </c>
      <c r="E379" s="3">
        <v>53.8</v>
      </c>
      <c r="F379" s="3">
        <v>61.4</v>
      </c>
      <c r="G379" s="3">
        <v>53.8</v>
      </c>
      <c r="H379" s="11"/>
      <c r="I379" s="3">
        <v>88.7</v>
      </c>
      <c r="J379" s="11"/>
      <c r="K379" s="11"/>
      <c r="L379" s="11"/>
      <c r="M379" s="12">
        <f>(PMI!$D379+PMI!$E379)/2</f>
        <v>52</v>
      </c>
      <c r="N379" s="12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10">
        <v>29037.0</v>
      </c>
      <c r="B380" s="3">
        <v>51.3</v>
      </c>
      <c r="C380" s="3">
        <v>49.8</v>
      </c>
      <c r="D380" s="3">
        <v>49.4</v>
      </c>
      <c r="E380" s="3">
        <v>50.2</v>
      </c>
      <c r="F380" s="3">
        <v>57.4</v>
      </c>
      <c r="G380" s="3">
        <v>53.6</v>
      </c>
      <c r="H380" s="11"/>
      <c r="I380" s="3">
        <v>93.1</v>
      </c>
      <c r="J380" s="11"/>
      <c r="K380" s="11"/>
      <c r="L380" s="11"/>
      <c r="M380" s="12">
        <f>(PMI!$D380+PMI!$E380)/2</f>
        <v>49.8</v>
      </c>
      <c r="N380" s="12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10">
        <v>29068.0</v>
      </c>
      <c r="B381" s="3">
        <v>49.5</v>
      </c>
      <c r="C381" s="3">
        <v>46.9</v>
      </c>
      <c r="D381" s="3">
        <v>49.0</v>
      </c>
      <c r="E381" s="3">
        <v>50.5</v>
      </c>
      <c r="F381" s="3">
        <v>52.9</v>
      </c>
      <c r="G381" s="3">
        <v>51.6</v>
      </c>
      <c r="H381" s="11"/>
      <c r="I381" s="3">
        <v>85.6</v>
      </c>
      <c r="J381" s="11"/>
      <c r="K381" s="11"/>
      <c r="L381" s="11"/>
      <c r="M381" s="12">
        <f>(PMI!$D381+PMI!$E381)/2</f>
        <v>49.75</v>
      </c>
      <c r="N381" s="12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10">
        <v>29099.0</v>
      </c>
      <c r="B382" s="3">
        <v>49.6</v>
      </c>
      <c r="C382" s="3">
        <v>48.7</v>
      </c>
      <c r="D382" s="3">
        <v>48.3</v>
      </c>
      <c r="E382" s="3">
        <v>50.3</v>
      </c>
      <c r="F382" s="3">
        <v>50.7</v>
      </c>
      <c r="G382" s="3">
        <v>52.3</v>
      </c>
      <c r="H382" s="11"/>
      <c r="I382" s="3">
        <v>85.0</v>
      </c>
      <c r="J382" s="11"/>
      <c r="K382" s="11"/>
      <c r="L382" s="11"/>
      <c r="M382" s="12">
        <f>(PMI!$D382+PMI!$E382)/2</f>
        <v>49.3</v>
      </c>
      <c r="N382" s="12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10">
        <v>29129.0</v>
      </c>
      <c r="B383" s="3">
        <v>49.0</v>
      </c>
      <c r="C383" s="3">
        <v>47.3</v>
      </c>
      <c r="D383" s="3">
        <v>49.0</v>
      </c>
      <c r="E383" s="3">
        <v>54.6</v>
      </c>
      <c r="F383" s="3">
        <v>46.9</v>
      </c>
      <c r="G383" s="3">
        <v>46.0</v>
      </c>
      <c r="H383" s="11"/>
      <c r="I383" s="3">
        <v>85.6</v>
      </c>
      <c r="J383" s="11"/>
      <c r="K383" s="11"/>
      <c r="L383" s="11"/>
      <c r="M383" s="12">
        <f>(PMI!$D383+PMI!$E383)/2</f>
        <v>51.8</v>
      </c>
      <c r="N383" s="12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10">
        <v>29160.0</v>
      </c>
      <c r="B384" s="3">
        <v>48.0</v>
      </c>
      <c r="C384" s="3">
        <v>46.5</v>
      </c>
      <c r="D384" s="3">
        <v>52.6</v>
      </c>
      <c r="E384" s="3">
        <v>47.3</v>
      </c>
      <c r="F384" s="3">
        <v>46.8</v>
      </c>
      <c r="G384" s="3">
        <v>44.3</v>
      </c>
      <c r="H384" s="11"/>
      <c r="I384" s="3">
        <v>89.2</v>
      </c>
      <c r="J384" s="11"/>
      <c r="K384" s="11"/>
      <c r="L384" s="11"/>
      <c r="M384" s="12">
        <f>(PMI!$D384+PMI!$E384)/2</f>
        <v>49.95</v>
      </c>
      <c r="N384" s="12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10">
        <v>29190.0</v>
      </c>
      <c r="B385" s="3">
        <v>44.8</v>
      </c>
      <c r="C385" s="3">
        <v>44.3</v>
      </c>
      <c r="D385" s="3">
        <v>48.2</v>
      </c>
      <c r="E385" s="3">
        <v>44.1</v>
      </c>
      <c r="F385" s="3">
        <v>42.2</v>
      </c>
      <c r="G385" s="3">
        <v>43.5</v>
      </c>
      <c r="H385" s="11"/>
      <c r="I385" s="3">
        <v>84.4</v>
      </c>
      <c r="J385" s="11"/>
      <c r="K385" s="11"/>
      <c r="L385" s="11"/>
      <c r="M385" s="12">
        <f>(PMI!$D385+PMI!$E385)/2</f>
        <v>46.15</v>
      </c>
      <c r="N385" s="12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10">
        <v>29221.0</v>
      </c>
      <c r="B386" s="3">
        <v>46.2</v>
      </c>
      <c r="C386" s="3">
        <v>47.1</v>
      </c>
      <c r="D386" s="3">
        <v>48.4</v>
      </c>
      <c r="E386" s="3">
        <v>46.2</v>
      </c>
      <c r="F386" s="3">
        <v>42.1</v>
      </c>
      <c r="G386" s="3">
        <v>44.5</v>
      </c>
      <c r="H386" s="11"/>
      <c r="I386" s="3">
        <v>83.0</v>
      </c>
      <c r="J386" s="11"/>
      <c r="K386" s="11"/>
      <c r="L386" s="11"/>
      <c r="M386" s="12">
        <f>(PMI!$D386+PMI!$E386)/2</f>
        <v>47.3</v>
      </c>
      <c r="N386" s="12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10">
        <v>29252.0</v>
      </c>
      <c r="B387" s="3">
        <v>50.2</v>
      </c>
      <c r="C387" s="3">
        <v>51.6</v>
      </c>
      <c r="D387" s="3">
        <v>53.1</v>
      </c>
      <c r="E387" s="3">
        <v>49.7</v>
      </c>
      <c r="F387" s="3">
        <v>46.0</v>
      </c>
      <c r="G387" s="3">
        <v>46.5</v>
      </c>
      <c r="H387" s="11"/>
      <c r="I387" s="3">
        <v>84.5</v>
      </c>
      <c r="J387" s="11"/>
      <c r="K387" s="11"/>
      <c r="L387" s="11"/>
      <c r="M387" s="12">
        <f>(PMI!$D387+PMI!$E387)/2</f>
        <v>51.4</v>
      </c>
      <c r="N387" s="12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10">
        <v>29281.0</v>
      </c>
      <c r="B388" s="3">
        <v>43.6</v>
      </c>
      <c r="C388" s="3">
        <v>43.8</v>
      </c>
      <c r="D388" s="3">
        <v>46.7</v>
      </c>
      <c r="E388" s="3">
        <v>43.2</v>
      </c>
      <c r="F388" s="3">
        <v>39.1</v>
      </c>
      <c r="G388" s="3">
        <v>43.0</v>
      </c>
      <c r="H388" s="11"/>
      <c r="I388" s="3">
        <v>84.0</v>
      </c>
      <c r="J388" s="11"/>
      <c r="K388" s="11"/>
      <c r="L388" s="11"/>
      <c r="M388" s="12">
        <f>(PMI!$D388+PMI!$E388)/2</f>
        <v>44.95</v>
      </c>
      <c r="N388" s="12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10">
        <v>29312.0</v>
      </c>
      <c r="B389" s="3">
        <v>37.4</v>
      </c>
      <c r="C389" s="3">
        <v>32.0</v>
      </c>
      <c r="D389" s="3">
        <v>37.9</v>
      </c>
      <c r="E389" s="3">
        <v>41.2</v>
      </c>
      <c r="F389" s="3">
        <v>36.9</v>
      </c>
      <c r="G389" s="3">
        <v>45.3</v>
      </c>
      <c r="H389" s="11"/>
      <c r="I389" s="3">
        <v>77.5</v>
      </c>
      <c r="J389" s="11"/>
      <c r="K389" s="11"/>
      <c r="L389" s="11"/>
      <c r="M389" s="12">
        <f>(PMI!$D389+PMI!$E389)/2</f>
        <v>39.55</v>
      </c>
      <c r="N389" s="12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10">
        <v>29342.0</v>
      </c>
      <c r="B390" s="3">
        <v>29.4</v>
      </c>
      <c r="C390" s="3">
        <v>25.6</v>
      </c>
      <c r="D390" s="3">
        <v>28.1</v>
      </c>
      <c r="E390" s="3">
        <v>34.3</v>
      </c>
      <c r="F390" s="3">
        <v>29.8</v>
      </c>
      <c r="G390" s="3">
        <v>33.3</v>
      </c>
      <c r="H390" s="11"/>
      <c r="I390" s="3">
        <v>70.8</v>
      </c>
      <c r="J390" s="11"/>
      <c r="K390" s="11"/>
      <c r="L390" s="11"/>
      <c r="M390" s="12">
        <f>(PMI!$D390+PMI!$E390)/2</f>
        <v>31.2</v>
      </c>
      <c r="N390" s="12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10">
        <v>29373.0</v>
      </c>
      <c r="B391" s="3">
        <v>30.3</v>
      </c>
      <c r="C391" s="3">
        <v>24.2</v>
      </c>
      <c r="D391" s="3">
        <v>31.5</v>
      </c>
      <c r="E391" s="3">
        <v>32.8</v>
      </c>
      <c r="F391" s="3">
        <v>32.4</v>
      </c>
      <c r="G391" s="3">
        <v>37.3</v>
      </c>
      <c r="H391" s="11"/>
      <c r="I391" s="3">
        <v>63.4</v>
      </c>
      <c r="J391" s="11"/>
      <c r="K391" s="11"/>
      <c r="L391" s="11"/>
      <c r="M391" s="12">
        <f>(PMI!$D391+PMI!$E391)/2</f>
        <v>32.15</v>
      </c>
      <c r="N391" s="12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10">
        <v>29403.0</v>
      </c>
      <c r="B392" s="3">
        <v>35.0</v>
      </c>
      <c r="C392" s="3">
        <v>36.1</v>
      </c>
      <c r="D392" s="3">
        <v>35.1</v>
      </c>
      <c r="E392" s="3">
        <v>35.0</v>
      </c>
      <c r="F392" s="3">
        <v>36.3</v>
      </c>
      <c r="G392" s="3">
        <v>29.5</v>
      </c>
      <c r="H392" s="11"/>
      <c r="I392" s="3">
        <v>59.3</v>
      </c>
      <c r="J392" s="11"/>
      <c r="K392" s="11"/>
      <c r="L392" s="11"/>
      <c r="M392" s="12">
        <f>(PMI!$D392+PMI!$E392)/2</f>
        <v>35.05</v>
      </c>
      <c r="N392" s="12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10">
        <v>29434.0</v>
      </c>
      <c r="B393" s="3">
        <v>45.5</v>
      </c>
      <c r="C393" s="3">
        <v>54.1</v>
      </c>
      <c r="D393" s="3">
        <v>46.9</v>
      </c>
      <c r="E393" s="3">
        <v>38.7</v>
      </c>
      <c r="F393" s="3">
        <v>40.1</v>
      </c>
      <c r="G393" s="3">
        <v>37.6</v>
      </c>
      <c r="H393" s="11"/>
      <c r="I393" s="3">
        <v>67.0</v>
      </c>
      <c r="J393" s="11"/>
      <c r="K393" s="11"/>
      <c r="L393" s="11"/>
      <c r="M393" s="12">
        <f>(PMI!$D393+PMI!$E393)/2</f>
        <v>42.8</v>
      </c>
      <c r="N393" s="12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10">
        <v>29465.0</v>
      </c>
      <c r="B394" s="3">
        <v>50.1</v>
      </c>
      <c r="C394" s="3">
        <v>53.9</v>
      </c>
      <c r="D394" s="3">
        <v>55.1</v>
      </c>
      <c r="E394" s="3">
        <v>47.0</v>
      </c>
      <c r="F394" s="3">
        <v>41.2</v>
      </c>
      <c r="G394" s="3">
        <v>45.3</v>
      </c>
      <c r="H394" s="11"/>
      <c r="I394" s="3">
        <v>68.0</v>
      </c>
      <c r="J394" s="11"/>
      <c r="K394" s="11"/>
      <c r="L394" s="11"/>
      <c r="M394" s="12">
        <f>(PMI!$D394+PMI!$E394)/2</f>
        <v>51.05</v>
      </c>
      <c r="N394" s="12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10">
        <v>29495.0</v>
      </c>
      <c r="B395" s="3">
        <v>55.5</v>
      </c>
      <c r="C395" s="3">
        <v>63.7</v>
      </c>
      <c r="D395" s="3">
        <v>60.7</v>
      </c>
      <c r="E395" s="3">
        <v>49.4</v>
      </c>
      <c r="F395" s="3">
        <v>46.5</v>
      </c>
      <c r="G395" s="3">
        <v>43.9</v>
      </c>
      <c r="H395" s="11"/>
      <c r="I395" s="3">
        <v>75.2</v>
      </c>
      <c r="J395" s="11"/>
      <c r="K395" s="11"/>
      <c r="L395" s="11"/>
      <c r="M395" s="12">
        <f>(PMI!$D395+PMI!$E395)/2</f>
        <v>55.05</v>
      </c>
      <c r="N395" s="12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10">
        <v>29526.0</v>
      </c>
      <c r="B396" s="3">
        <v>58.2</v>
      </c>
      <c r="C396" s="3">
        <v>65.3</v>
      </c>
      <c r="D396" s="3">
        <v>66.8</v>
      </c>
      <c r="E396" s="3">
        <v>53.3</v>
      </c>
      <c r="F396" s="3">
        <v>46.8</v>
      </c>
      <c r="G396" s="3">
        <v>42.2</v>
      </c>
      <c r="H396" s="11"/>
      <c r="I396" s="3">
        <v>76.7</v>
      </c>
      <c r="J396" s="11"/>
      <c r="K396" s="11"/>
      <c r="L396" s="11"/>
      <c r="M396" s="12">
        <f>(PMI!$D396+PMI!$E396)/2</f>
        <v>60.05</v>
      </c>
      <c r="N396" s="12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10">
        <v>29556.0</v>
      </c>
      <c r="B397" s="3">
        <v>53.0</v>
      </c>
      <c r="C397" s="3">
        <v>51.2</v>
      </c>
      <c r="D397" s="3">
        <v>57.2</v>
      </c>
      <c r="E397" s="3">
        <v>53.2</v>
      </c>
      <c r="F397" s="3">
        <v>50.1</v>
      </c>
      <c r="G397" s="3">
        <v>51.4</v>
      </c>
      <c r="H397" s="11"/>
      <c r="I397" s="3">
        <v>74.6</v>
      </c>
      <c r="J397" s="11"/>
      <c r="K397" s="11"/>
      <c r="L397" s="11"/>
      <c r="M397" s="12">
        <f>(PMI!$D397+PMI!$E397)/2</f>
        <v>55.2</v>
      </c>
      <c r="N397" s="12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10">
        <v>29587.0</v>
      </c>
      <c r="B398" s="3">
        <v>49.2</v>
      </c>
      <c r="C398" s="3">
        <v>48.7</v>
      </c>
      <c r="D398" s="3">
        <v>51.8</v>
      </c>
      <c r="E398" s="3">
        <v>48.7</v>
      </c>
      <c r="F398" s="3">
        <v>49.7</v>
      </c>
      <c r="G398" s="3">
        <v>44.6</v>
      </c>
      <c r="H398" s="11"/>
      <c r="I398" s="3">
        <v>76.3</v>
      </c>
      <c r="J398" s="11"/>
      <c r="K398" s="11"/>
      <c r="L398" s="11"/>
      <c r="M398" s="12">
        <f>(PMI!$D398+PMI!$E398)/2</f>
        <v>50.25</v>
      </c>
      <c r="N398" s="12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10">
        <v>29618.0</v>
      </c>
      <c r="B399" s="3">
        <v>48.8</v>
      </c>
      <c r="C399" s="3">
        <v>51.1</v>
      </c>
      <c r="D399" s="3">
        <v>50.9</v>
      </c>
      <c r="E399" s="3">
        <v>46.3</v>
      </c>
      <c r="F399" s="3">
        <v>48.5</v>
      </c>
      <c r="G399" s="3">
        <v>42.1</v>
      </c>
      <c r="H399" s="11"/>
      <c r="I399" s="3">
        <v>70.9</v>
      </c>
      <c r="J399" s="11"/>
      <c r="K399" s="11"/>
      <c r="L399" s="11"/>
      <c r="M399" s="12">
        <f>(PMI!$D399+PMI!$E399)/2</f>
        <v>48.6</v>
      </c>
      <c r="N399" s="12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10">
        <v>29646.0</v>
      </c>
      <c r="B400" s="3">
        <v>49.6</v>
      </c>
      <c r="C400" s="3">
        <v>50.2</v>
      </c>
      <c r="D400" s="3">
        <v>52.8</v>
      </c>
      <c r="E400" s="3">
        <v>48.1</v>
      </c>
      <c r="F400" s="3">
        <v>48.7</v>
      </c>
      <c r="G400" s="3">
        <v>44.7</v>
      </c>
      <c r="H400" s="11"/>
      <c r="I400" s="3">
        <v>72.6</v>
      </c>
      <c r="J400" s="11"/>
      <c r="K400" s="11"/>
      <c r="L400" s="11"/>
      <c r="M400" s="12">
        <f>(PMI!$D400+PMI!$E400)/2</f>
        <v>50.45</v>
      </c>
      <c r="N400" s="12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10">
        <v>29677.0</v>
      </c>
      <c r="B401" s="3">
        <v>51.6</v>
      </c>
      <c r="C401" s="3">
        <v>53.1</v>
      </c>
      <c r="D401" s="3">
        <v>55.0</v>
      </c>
      <c r="E401" s="3">
        <v>49.2</v>
      </c>
      <c r="F401" s="3">
        <v>51.2</v>
      </c>
      <c r="G401" s="3">
        <v>44.4</v>
      </c>
      <c r="H401" s="11"/>
      <c r="I401" s="3">
        <v>70.2</v>
      </c>
      <c r="J401" s="11"/>
      <c r="K401" s="11"/>
      <c r="L401" s="11"/>
      <c r="M401" s="12">
        <f>(PMI!$D401+PMI!$E401)/2</f>
        <v>52.1</v>
      </c>
      <c r="N401" s="12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10">
        <v>29707.0</v>
      </c>
      <c r="B402" s="3">
        <v>53.5</v>
      </c>
      <c r="C402" s="3">
        <v>55.7</v>
      </c>
      <c r="D402" s="3">
        <v>59.0</v>
      </c>
      <c r="E402" s="3">
        <v>48.3</v>
      </c>
      <c r="F402" s="3">
        <v>50.2</v>
      </c>
      <c r="G402" s="3">
        <v>48.7</v>
      </c>
      <c r="H402" s="11"/>
      <c r="I402" s="3">
        <v>66.2</v>
      </c>
      <c r="J402" s="11"/>
      <c r="K402" s="11"/>
      <c r="L402" s="11"/>
      <c r="M402" s="12">
        <f>(PMI!$D402+PMI!$E402)/2</f>
        <v>53.65</v>
      </c>
      <c r="N402" s="12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10">
        <v>29738.0</v>
      </c>
      <c r="B403" s="3">
        <v>50.7</v>
      </c>
      <c r="C403" s="3">
        <v>51.0</v>
      </c>
      <c r="D403" s="3">
        <v>53.9</v>
      </c>
      <c r="E403" s="3">
        <v>48.8</v>
      </c>
      <c r="F403" s="3">
        <v>47.9</v>
      </c>
      <c r="G403" s="3">
        <v>49.4</v>
      </c>
      <c r="H403" s="11"/>
      <c r="I403" s="3">
        <v>70.8</v>
      </c>
      <c r="J403" s="11"/>
      <c r="K403" s="11"/>
      <c r="L403" s="11"/>
      <c r="M403" s="12">
        <f>(PMI!$D403+PMI!$E403)/2</f>
        <v>51.35</v>
      </c>
      <c r="N403" s="12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10">
        <v>29768.0</v>
      </c>
      <c r="B404" s="3">
        <v>46.7</v>
      </c>
      <c r="C404" s="3">
        <v>47.6</v>
      </c>
      <c r="D404" s="3">
        <v>47.6</v>
      </c>
      <c r="E404" s="3">
        <v>46.6</v>
      </c>
      <c r="F404" s="3">
        <v>44.9</v>
      </c>
      <c r="G404" s="3">
        <v>44.4</v>
      </c>
      <c r="H404" s="11"/>
      <c r="I404" s="3">
        <v>66.9</v>
      </c>
      <c r="J404" s="11"/>
      <c r="K404" s="11"/>
      <c r="L404" s="11"/>
      <c r="M404" s="12">
        <f>(PMI!$D404+PMI!$E404)/2</f>
        <v>47.1</v>
      </c>
      <c r="N404" s="12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10">
        <v>29799.0</v>
      </c>
      <c r="B405" s="3">
        <v>48.3</v>
      </c>
      <c r="C405" s="3">
        <v>47.2</v>
      </c>
      <c r="D405" s="3">
        <v>49.5</v>
      </c>
      <c r="E405" s="3">
        <v>47.8</v>
      </c>
      <c r="F405" s="3">
        <v>49.6</v>
      </c>
      <c r="G405" s="3">
        <v>47.3</v>
      </c>
      <c r="H405" s="11"/>
      <c r="I405" s="3">
        <v>65.6</v>
      </c>
      <c r="J405" s="11"/>
      <c r="K405" s="11"/>
      <c r="L405" s="11"/>
      <c r="M405" s="12">
        <f>(PMI!$D405+PMI!$E405)/2</f>
        <v>48.65</v>
      </c>
      <c r="N405" s="12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10">
        <v>29830.0</v>
      </c>
      <c r="B406" s="3">
        <v>42.5</v>
      </c>
      <c r="C406" s="3">
        <v>42.2</v>
      </c>
      <c r="D406" s="3">
        <v>43.8</v>
      </c>
      <c r="E406" s="3">
        <v>39.2</v>
      </c>
      <c r="F406" s="3">
        <v>45.9</v>
      </c>
      <c r="G406" s="3">
        <v>41.9</v>
      </c>
      <c r="H406" s="11"/>
      <c r="I406" s="3">
        <v>65.8</v>
      </c>
      <c r="J406" s="11"/>
      <c r="K406" s="11"/>
      <c r="L406" s="11"/>
      <c r="M406" s="12">
        <f>(PMI!$D406+PMI!$E406)/2</f>
        <v>41.5</v>
      </c>
      <c r="N406" s="12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10">
        <v>29860.0</v>
      </c>
      <c r="B407" s="3">
        <v>40.0</v>
      </c>
      <c r="C407" s="3">
        <v>40.2</v>
      </c>
      <c r="D407" s="3">
        <v>39.4</v>
      </c>
      <c r="E407" s="3">
        <v>37.9</v>
      </c>
      <c r="F407" s="3">
        <v>37.7</v>
      </c>
      <c r="G407" s="3">
        <v>48.9</v>
      </c>
      <c r="H407" s="11"/>
      <c r="I407" s="3">
        <v>57.5</v>
      </c>
      <c r="J407" s="11"/>
      <c r="K407" s="11"/>
      <c r="L407" s="11"/>
      <c r="M407" s="12">
        <f>(PMI!$D407+PMI!$E407)/2</f>
        <v>38.65</v>
      </c>
      <c r="N407" s="12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10">
        <v>29891.0</v>
      </c>
      <c r="B408" s="3">
        <v>36.1</v>
      </c>
      <c r="C408" s="3">
        <v>32.8</v>
      </c>
      <c r="D408" s="3">
        <v>36.1</v>
      </c>
      <c r="E408" s="3">
        <v>34.8</v>
      </c>
      <c r="F408" s="3">
        <v>40.5</v>
      </c>
      <c r="G408" s="3">
        <v>42.3</v>
      </c>
      <c r="H408" s="11"/>
      <c r="I408" s="3">
        <v>58.4</v>
      </c>
      <c r="J408" s="11"/>
      <c r="K408" s="11"/>
      <c r="L408" s="11"/>
      <c r="M408" s="12">
        <f>(PMI!$D408+PMI!$E408)/2</f>
        <v>35.45</v>
      </c>
      <c r="N408" s="12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10">
        <v>29921.0</v>
      </c>
      <c r="B409" s="3">
        <v>37.8</v>
      </c>
      <c r="C409" s="3">
        <v>39.1</v>
      </c>
      <c r="D409" s="3">
        <v>37.3</v>
      </c>
      <c r="E409" s="3">
        <v>34.0</v>
      </c>
      <c r="F409" s="3">
        <v>41.2</v>
      </c>
      <c r="G409" s="3">
        <v>37.2</v>
      </c>
      <c r="H409" s="11"/>
      <c r="I409" s="3">
        <v>54.7</v>
      </c>
      <c r="J409" s="11"/>
      <c r="K409" s="11"/>
      <c r="L409" s="11"/>
      <c r="M409" s="12">
        <f>(PMI!$D409+PMI!$E409)/2</f>
        <v>35.65</v>
      </c>
      <c r="N409" s="12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10">
        <v>29952.0</v>
      </c>
      <c r="B410" s="3">
        <v>38.2</v>
      </c>
      <c r="C410" s="3">
        <v>39.9</v>
      </c>
      <c r="D410" s="3">
        <v>39.0</v>
      </c>
      <c r="E410" s="3">
        <v>34.5</v>
      </c>
      <c r="F410" s="3">
        <v>40.1</v>
      </c>
      <c r="G410" s="3">
        <v>35.8</v>
      </c>
      <c r="H410" s="11"/>
      <c r="I410" s="3">
        <v>48.8</v>
      </c>
      <c r="J410" s="11"/>
      <c r="K410" s="11"/>
      <c r="L410" s="11"/>
      <c r="M410" s="12">
        <f>(PMI!$D410+PMI!$E410)/2</f>
        <v>36.75</v>
      </c>
      <c r="N410" s="12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10">
        <v>29983.0</v>
      </c>
      <c r="B411" s="3">
        <v>38.3</v>
      </c>
      <c r="C411" s="3">
        <v>38.6</v>
      </c>
      <c r="D411" s="3">
        <v>40.1</v>
      </c>
      <c r="E411" s="3">
        <v>35.5</v>
      </c>
      <c r="F411" s="3">
        <v>40.8</v>
      </c>
      <c r="G411" s="3">
        <v>34.7</v>
      </c>
      <c r="H411" s="11"/>
      <c r="I411" s="3">
        <v>45.3</v>
      </c>
      <c r="J411" s="11"/>
      <c r="K411" s="11"/>
      <c r="L411" s="11"/>
      <c r="M411" s="12">
        <f>(PMI!$D411+PMI!$E411)/2</f>
        <v>37.8</v>
      </c>
      <c r="N411" s="12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10">
        <v>30011.0</v>
      </c>
      <c r="B412" s="3">
        <v>36.8</v>
      </c>
      <c r="C412" s="3">
        <v>40.4</v>
      </c>
      <c r="D412" s="3">
        <v>38.0</v>
      </c>
      <c r="E412" s="3">
        <v>33.1</v>
      </c>
      <c r="F412" s="3">
        <v>36.4</v>
      </c>
      <c r="G412" s="3">
        <v>31.2</v>
      </c>
      <c r="H412" s="11"/>
      <c r="I412" s="3">
        <v>35.4</v>
      </c>
      <c r="J412" s="11"/>
      <c r="K412" s="11"/>
      <c r="L412" s="11"/>
      <c r="M412" s="12">
        <f>(PMI!$D412+PMI!$E412)/2</f>
        <v>35.55</v>
      </c>
      <c r="N412" s="12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10">
        <v>30042.0</v>
      </c>
      <c r="B413" s="3">
        <v>37.8</v>
      </c>
      <c r="C413" s="3">
        <v>40.9</v>
      </c>
      <c r="D413" s="3">
        <v>41.3</v>
      </c>
      <c r="E413" s="3">
        <v>31.7</v>
      </c>
      <c r="F413" s="3">
        <v>38.2</v>
      </c>
      <c r="G413" s="3">
        <v>31.5</v>
      </c>
      <c r="H413" s="11"/>
      <c r="I413" s="3">
        <v>35.7</v>
      </c>
      <c r="J413" s="11"/>
      <c r="K413" s="11"/>
      <c r="L413" s="11"/>
      <c r="M413" s="12">
        <f>(PMI!$D413+PMI!$E413)/2</f>
        <v>36.5</v>
      </c>
      <c r="N413" s="12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10">
        <v>30072.0</v>
      </c>
      <c r="B414" s="3">
        <v>35.5</v>
      </c>
      <c r="C414" s="3">
        <v>38.1</v>
      </c>
      <c r="D414" s="3">
        <v>37.2</v>
      </c>
      <c r="E414" s="3">
        <v>27.8</v>
      </c>
      <c r="F414" s="3">
        <v>42.1</v>
      </c>
      <c r="G414" s="3">
        <v>28.8</v>
      </c>
      <c r="H414" s="11"/>
      <c r="I414" s="3">
        <v>41.4</v>
      </c>
      <c r="J414" s="11"/>
      <c r="K414" s="11"/>
      <c r="L414" s="11"/>
      <c r="M414" s="12">
        <f>(PMI!$D414+PMI!$E414)/2</f>
        <v>32.5</v>
      </c>
      <c r="N414" s="12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10">
        <v>30103.0</v>
      </c>
      <c r="B415" s="3">
        <v>38.3</v>
      </c>
      <c r="C415" s="3">
        <v>42.0</v>
      </c>
      <c r="D415" s="3">
        <v>39.4</v>
      </c>
      <c r="E415" s="3">
        <v>30.8</v>
      </c>
      <c r="F415" s="3">
        <v>45.2</v>
      </c>
      <c r="G415" s="3">
        <v>29.4</v>
      </c>
      <c r="H415" s="11"/>
      <c r="I415" s="3">
        <v>39.6</v>
      </c>
      <c r="J415" s="11"/>
      <c r="K415" s="11"/>
      <c r="L415" s="11"/>
      <c r="M415" s="12">
        <f>(PMI!$D415+PMI!$E415)/2</f>
        <v>35.1</v>
      </c>
      <c r="N415" s="12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10">
        <v>30133.0</v>
      </c>
      <c r="B416" s="3">
        <v>38.4</v>
      </c>
      <c r="C416" s="3">
        <v>40.7</v>
      </c>
      <c r="D416" s="3">
        <v>41.1</v>
      </c>
      <c r="E416" s="3">
        <v>30.5</v>
      </c>
      <c r="F416" s="3">
        <v>45.8</v>
      </c>
      <c r="G416" s="3">
        <v>29.5</v>
      </c>
      <c r="H416" s="11"/>
      <c r="I416" s="3">
        <v>40.8</v>
      </c>
      <c r="J416" s="11"/>
      <c r="K416" s="11"/>
      <c r="L416" s="11"/>
      <c r="M416" s="12">
        <f>(PMI!$D416+PMI!$E416)/2</f>
        <v>35.8</v>
      </c>
      <c r="N416" s="12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10">
        <v>30164.0</v>
      </c>
      <c r="B417" s="3">
        <v>38.3</v>
      </c>
      <c r="C417" s="3">
        <v>40.1</v>
      </c>
      <c r="D417" s="3">
        <v>39.9</v>
      </c>
      <c r="E417" s="3">
        <v>31.8</v>
      </c>
      <c r="F417" s="3">
        <v>45.3</v>
      </c>
      <c r="G417" s="3">
        <v>31.6</v>
      </c>
      <c r="H417" s="11"/>
      <c r="I417" s="3">
        <v>39.2</v>
      </c>
      <c r="J417" s="11"/>
      <c r="K417" s="11"/>
      <c r="L417" s="11"/>
      <c r="M417" s="12">
        <f>(PMI!$D417+PMI!$E417)/2</f>
        <v>35.85</v>
      </c>
      <c r="N417" s="12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10">
        <v>30195.0</v>
      </c>
      <c r="B418" s="3">
        <v>38.8</v>
      </c>
      <c r="C418" s="3">
        <v>40.4</v>
      </c>
      <c r="D418" s="3">
        <v>41.3</v>
      </c>
      <c r="E418" s="3">
        <v>30.6</v>
      </c>
      <c r="F418" s="3">
        <v>45.9</v>
      </c>
      <c r="G418" s="3">
        <v>33.6</v>
      </c>
      <c r="H418" s="11"/>
      <c r="I418" s="3">
        <v>41.2</v>
      </c>
      <c r="J418" s="11"/>
      <c r="K418" s="11"/>
      <c r="L418" s="11"/>
      <c r="M418" s="12">
        <f>(PMI!$D418+PMI!$E418)/2</f>
        <v>35.95</v>
      </c>
      <c r="N418" s="12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10">
        <v>30225.0</v>
      </c>
      <c r="B419" s="3">
        <v>39.4</v>
      </c>
      <c r="C419" s="3">
        <v>41.9</v>
      </c>
      <c r="D419" s="3">
        <v>42.0</v>
      </c>
      <c r="E419" s="3">
        <v>30.6</v>
      </c>
      <c r="F419" s="3">
        <v>46.5</v>
      </c>
      <c r="G419" s="3">
        <v>32.5</v>
      </c>
      <c r="H419" s="11"/>
      <c r="I419" s="3">
        <v>41.0</v>
      </c>
      <c r="J419" s="11"/>
      <c r="K419" s="11"/>
      <c r="L419" s="11"/>
      <c r="M419" s="12">
        <f>(PMI!$D419+PMI!$E419)/2</f>
        <v>36.3</v>
      </c>
      <c r="N419" s="12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10">
        <v>30256.0</v>
      </c>
      <c r="B420" s="3">
        <v>39.2</v>
      </c>
      <c r="C420" s="3">
        <v>41.5</v>
      </c>
      <c r="D420" s="3">
        <v>42.6</v>
      </c>
      <c r="E420" s="3">
        <v>28.2</v>
      </c>
      <c r="F420" s="3">
        <v>46.9</v>
      </c>
      <c r="G420" s="3">
        <v>33.6</v>
      </c>
      <c r="H420" s="11"/>
      <c r="I420" s="3">
        <v>37.3</v>
      </c>
      <c r="J420" s="11"/>
      <c r="K420" s="11"/>
      <c r="L420" s="11"/>
      <c r="M420" s="12">
        <f>(PMI!$D420+PMI!$E420)/2</f>
        <v>35.4</v>
      </c>
      <c r="N420" s="12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10">
        <v>30286.0</v>
      </c>
      <c r="B421" s="3">
        <v>42.8</v>
      </c>
      <c r="C421" s="3">
        <v>46.0</v>
      </c>
      <c r="D421" s="3">
        <v>44.0</v>
      </c>
      <c r="E421" s="3">
        <v>36.3</v>
      </c>
      <c r="F421" s="3">
        <v>48.6</v>
      </c>
      <c r="G421" s="3">
        <v>34.7</v>
      </c>
      <c r="H421" s="11"/>
      <c r="I421" s="3">
        <v>39.1</v>
      </c>
      <c r="J421" s="11"/>
      <c r="K421" s="11"/>
      <c r="L421" s="11"/>
      <c r="M421" s="12">
        <f>(PMI!$D421+PMI!$E421)/2</f>
        <v>40.15</v>
      </c>
      <c r="N421" s="12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10">
        <v>30317.0</v>
      </c>
      <c r="B422" s="3">
        <v>46.0</v>
      </c>
      <c r="C422" s="3">
        <v>50.3</v>
      </c>
      <c r="D422" s="3">
        <v>50.8</v>
      </c>
      <c r="E422" s="3">
        <v>37.7</v>
      </c>
      <c r="F422" s="3">
        <v>46.7</v>
      </c>
      <c r="G422" s="3">
        <v>36.3</v>
      </c>
      <c r="H422" s="11"/>
      <c r="I422" s="3">
        <v>43.7</v>
      </c>
      <c r="J422" s="11"/>
      <c r="K422" s="11"/>
      <c r="L422" s="11"/>
      <c r="M422" s="12">
        <f>(PMI!$D422+PMI!$E422)/2</f>
        <v>44.25</v>
      </c>
      <c r="N422" s="12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10">
        <v>30348.0</v>
      </c>
      <c r="B423" s="3">
        <v>54.4</v>
      </c>
      <c r="C423" s="3">
        <v>60.6</v>
      </c>
      <c r="D423" s="3">
        <v>61.1</v>
      </c>
      <c r="E423" s="3">
        <v>47.4</v>
      </c>
      <c r="F423" s="3">
        <v>49.9</v>
      </c>
      <c r="G423" s="3">
        <v>40.1</v>
      </c>
      <c r="H423" s="11"/>
      <c r="I423" s="3">
        <v>48.7</v>
      </c>
      <c r="J423" s="11"/>
      <c r="K423" s="11"/>
      <c r="L423" s="11"/>
      <c r="M423" s="12">
        <f>(PMI!$D423+PMI!$E423)/2</f>
        <v>54.25</v>
      </c>
      <c r="N423" s="12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10">
        <v>30376.0</v>
      </c>
      <c r="B424" s="3">
        <v>53.9</v>
      </c>
      <c r="C424" s="3">
        <v>60.8</v>
      </c>
      <c r="D424" s="3">
        <v>58.4</v>
      </c>
      <c r="E424" s="3">
        <v>45.1</v>
      </c>
      <c r="F424" s="3">
        <v>50.8</v>
      </c>
      <c r="G424" s="3">
        <v>44.2</v>
      </c>
      <c r="H424" s="11"/>
      <c r="I424" s="3">
        <v>47.9</v>
      </c>
      <c r="J424" s="11"/>
      <c r="K424" s="11"/>
      <c r="L424" s="11"/>
      <c r="M424" s="12">
        <f>(PMI!$D424+PMI!$E424)/2</f>
        <v>51.75</v>
      </c>
      <c r="N424" s="12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10">
        <v>30407.0</v>
      </c>
      <c r="B425" s="3">
        <v>54.2</v>
      </c>
      <c r="C425" s="3">
        <v>59.4</v>
      </c>
      <c r="D425" s="3">
        <v>58.2</v>
      </c>
      <c r="E425" s="3">
        <v>46.4</v>
      </c>
      <c r="F425" s="3">
        <v>52.7</v>
      </c>
      <c r="G425" s="3">
        <v>46.0</v>
      </c>
      <c r="H425" s="11"/>
      <c r="I425" s="3">
        <v>55.6</v>
      </c>
      <c r="J425" s="11"/>
      <c r="K425" s="11"/>
      <c r="L425" s="11"/>
      <c r="M425" s="12">
        <f>(PMI!$D425+PMI!$E425)/2</f>
        <v>52.3</v>
      </c>
      <c r="N425" s="12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10">
        <v>30437.0</v>
      </c>
      <c r="B426" s="3">
        <v>56.1</v>
      </c>
      <c r="C426" s="3">
        <v>61.8</v>
      </c>
      <c r="D426" s="3">
        <v>61.5</v>
      </c>
      <c r="E426" s="3">
        <v>49.2</v>
      </c>
      <c r="F426" s="3">
        <v>51.9</v>
      </c>
      <c r="G426" s="3">
        <v>45.7</v>
      </c>
      <c r="H426" s="11"/>
      <c r="I426" s="3">
        <v>60.3</v>
      </c>
      <c r="J426" s="11"/>
      <c r="K426" s="11"/>
      <c r="L426" s="11"/>
      <c r="M426" s="12">
        <f>(PMI!$D426+PMI!$E426)/2</f>
        <v>55.35</v>
      </c>
      <c r="N426" s="12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10">
        <v>30468.0</v>
      </c>
      <c r="B427" s="3">
        <v>57.5</v>
      </c>
      <c r="C427" s="3">
        <v>62.3</v>
      </c>
      <c r="D427" s="3">
        <v>63.2</v>
      </c>
      <c r="E427" s="3">
        <v>49.7</v>
      </c>
      <c r="F427" s="3">
        <v>56.8</v>
      </c>
      <c r="G427" s="3">
        <v>45.7</v>
      </c>
      <c r="H427" s="11"/>
      <c r="I427" s="3">
        <v>61.5</v>
      </c>
      <c r="J427" s="11"/>
      <c r="K427" s="11"/>
      <c r="L427" s="11"/>
      <c r="M427" s="12">
        <f>(PMI!$D427+PMI!$E427)/2</f>
        <v>56.45</v>
      </c>
      <c r="N427" s="12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10">
        <v>30498.0</v>
      </c>
      <c r="B428" s="3">
        <v>63.6</v>
      </c>
      <c r="C428" s="3">
        <v>70.3</v>
      </c>
      <c r="D428" s="3">
        <v>71.5</v>
      </c>
      <c r="E428" s="3">
        <v>53.7</v>
      </c>
      <c r="F428" s="3">
        <v>58.9</v>
      </c>
      <c r="G428" s="3">
        <v>50.8</v>
      </c>
      <c r="H428" s="11"/>
      <c r="I428" s="3">
        <v>63.2</v>
      </c>
      <c r="J428" s="11"/>
      <c r="K428" s="11"/>
      <c r="L428" s="11"/>
      <c r="M428" s="12">
        <f>(PMI!$D428+PMI!$E428)/2</f>
        <v>62.6</v>
      </c>
      <c r="N428" s="12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10">
        <v>30529.0</v>
      </c>
      <c r="B429" s="3">
        <v>63.1</v>
      </c>
      <c r="C429" s="3">
        <v>68.1</v>
      </c>
      <c r="D429" s="3">
        <v>69.9</v>
      </c>
      <c r="E429" s="3">
        <v>56.0</v>
      </c>
      <c r="F429" s="3">
        <v>60.2</v>
      </c>
      <c r="G429" s="3">
        <v>49.3</v>
      </c>
      <c r="H429" s="11"/>
      <c r="I429" s="3">
        <v>69.4</v>
      </c>
      <c r="J429" s="11"/>
      <c r="K429" s="11"/>
      <c r="L429" s="11"/>
      <c r="M429" s="12">
        <f>(PMI!$D429+PMI!$E429)/2</f>
        <v>62.95</v>
      </c>
      <c r="N429" s="12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10">
        <v>30560.0</v>
      </c>
      <c r="B430" s="3">
        <v>62.5</v>
      </c>
      <c r="C430" s="3">
        <v>66.9</v>
      </c>
      <c r="D430" s="3">
        <v>67.8</v>
      </c>
      <c r="E430" s="3">
        <v>57.8</v>
      </c>
      <c r="F430" s="3">
        <v>60.7</v>
      </c>
      <c r="G430" s="3">
        <v>48.6</v>
      </c>
      <c r="H430" s="11"/>
      <c r="I430" s="3">
        <v>68.0</v>
      </c>
      <c r="J430" s="11"/>
      <c r="K430" s="11"/>
      <c r="L430" s="11"/>
      <c r="M430" s="12">
        <f>(PMI!$D430+PMI!$E430)/2</f>
        <v>62.8</v>
      </c>
      <c r="N430" s="12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10">
        <v>30590.0</v>
      </c>
      <c r="B431" s="3">
        <v>64.4</v>
      </c>
      <c r="C431" s="3">
        <v>69.5</v>
      </c>
      <c r="D431" s="3">
        <v>69.6</v>
      </c>
      <c r="E431" s="3">
        <v>57.6</v>
      </c>
      <c r="F431" s="3">
        <v>62.8</v>
      </c>
      <c r="G431" s="3">
        <v>52.1</v>
      </c>
      <c r="H431" s="11"/>
      <c r="I431" s="3">
        <v>69.3</v>
      </c>
      <c r="J431" s="11"/>
      <c r="K431" s="11"/>
      <c r="L431" s="11"/>
      <c r="M431" s="12">
        <f>(PMI!$D431+PMI!$E431)/2</f>
        <v>63.6</v>
      </c>
      <c r="N431" s="12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10">
        <v>30621.0</v>
      </c>
      <c r="B432" s="3">
        <v>66.0</v>
      </c>
      <c r="C432" s="3">
        <v>69.2</v>
      </c>
      <c r="D432" s="3">
        <v>70.7</v>
      </c>
      <c r="E432" s="3">
        <v>59.7</v>
      </c>
      <c r="F432" s="3">
        <v>67.5</v>
      </c>
      <c r="G432" s="3">
        <v>55.0</v>
      </c>
      <c r="H432" s="11"/>
      <c r="I432" s="3">
        <v>68.1</v>
      </c>
      <c r="J432" s="11"/>
      <c r="K432" s="11"/>
      <c r="L432" s="11"/>
      <c r="M432" s="12">
        <f>(PMI!$D432+PMI!$E432)/2</f>
        <v>65.2</v>
      </c>
      <c r="N432" s="12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10">
        <v>30651.0</v>
      </c>
      <c r="B433" s="3">
        <v>69.9</v>
      </c>
      <c r="C433" s="3">
        <v>74.8</v>
      </c>
      <c r="D433" s="3">
        <v>80.6</v>
      </c>
      <c r="E433" s="3">
        <v>60.4</v>
      </c>
      <c r="F433" s="3">
        <v>62.1</v>
      </c>
      <c r="G433" s="3">
        <v>59.6</v>
      </c>
      <c r="H433" s="11"/>
      <c r="I433" s="3">
        <v>71.4</v>
      </c>
      <c r="J433" s="11"/>
      <c r="K433" s="11"/>
      <c r="L433" s="11"/>
      <c r="M433" s="12">
        <f>(PMI!$D433+PMI!$E433)/2</f>
        <v>70.5</v>
      </c>
      <c r="N433" s="12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10">
        <v>30682.0</v>
      </c>
      <c r="B434" s="3">
        <v>60.5</v>
      </c>
      <c r="C434" s="3">
        <v>63.7</v>
      </c>
      <c r="D434" s="3">
        <v>59.9</v>
      </c>
      <c r="E434" s="3">
        <v>57.6</v>
      </c>
      <c r="F434" s="3">
        <v>64.4</v>
      </c>
      <c r="G434" s="3">
        <v>52.7</v>
      </c>
      <c r="H434" s="11"/>
      <c r="I434" s="3">
        <v>64.4</v>
      </c>
      <c r="J434" s="11"/>
      <c r="K434" s="11"/>
      <c r="L434" s="11"/>
      <c r="M434" s="12">
        <f>(PMI!$D434+PMI!$E434)/2</f>
        <v>58.75</v>
      </c>
      <c r="N434" s="12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10">
        <v>30713.0</v>
      </c>
      <c r="B435" s="3">
        <v>61.3</v>
      </c>
      <c r="C435" s="3">
        <v>64.9</v>
      </c>
      <c r="D435" s="3">
        <v>64.0</v>
      </c>
      <c r="E435" s="3">
        <v>56.4</v>
      </c>
      <c r="F435" s="3">
        <v>61.5</v>
      </c>
      <c r="G435" s="3">
        <v>52.7</v>
      </c>
      <c r="H435" s="11"/>
      <c r="I435" s="3">
        <v>71.1</v>
      </c>
      <c r="J435" s="11"/>
      <c r="K435" s="11"/>
      <c r="L435" s="11"/>
      <c r="M435" s="12">
        <f>(PMI!$D435+PMI!$E435)/2</f>
        <v>60.2</v>
      </c>
      <c r="N435" s="12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10">
        <v>30742.0</v>
      </c>
      <c r="B436" s="3">
        <v>58.9</v>
      </c>
      <c r="C436" s="3">
        <v>60.9</v>
      </c>
      <c r="D436" s="3">
        <v>61.5</v>
      </c>
      <c r="E436" s="3">
        <v>51.1</v>
      </c>
      <c r="F436" s="3">
        <v>65.5</v>
      </c>
      <c r="G436" s="3">
        <v>52.7</v>
      </c>
      <c r="H436" s="11"/>
      <c r="I436" s="3">
        <v>73.6</v>
      </c>
      <c r="J436" s="11"/>
      <c r="K436" s="11"/>
      <c r="L436" s="11"/>
      <c r="M436" s="12">
        <f>(PMI!$D436+PMI!$E436)/2</f>
        <v>56.3</v>
      </c>
      <c r="N436" s="12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10">
        <v>30773.0</v>
      </c>
      <c r="B437" s="3">
        <v>61.0</v>
      </c>
      <c r="C437" s="3">
        <v>63.2</v>
      </c>
      <c r="D437" s="3">
        <v>62.3</v>
      </c>
      <c r="E437" s="3">
        <v>56.8</v>
      </c>
      <c r="F437" s="3">
        <v>64.6</v>
      </c>
      <c r="G437" s="3">
        <v>54.0</v>
      </c>
      <c r="H437" s="11"/>
      <c r="I437" s="3">
        <v>71.9</v>
      </c>
      <c r="J437" s="11"/>
      <c r="K437" s="11"/>
      <c r="L437" s="11"/>
      <c r="M437" s="12">
        <f>(PMI!$D437+PMI!$E437)/2</f>
        <v>59.55</v>
      </c>
      <c r="N437" s="12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10">
        <v>30803.0</v>
      </c>
      <c r="B438" s="3">
        <v>58.6</v>
      </c>
      <c r="C438" s="3">
        <v>59.2</v>
      </c>
      <c r="D438" s="3">
        <v>59.3</v>
      </c>
      <c r="E438" s="3">
        <v>56.2</v>
      </c>
      <c r="F438" s="3">
        <v>62.5</v>
      </c>
      <c r="G438" s="3">
        <v>54.1</v>
      </c>
      <c r="H438" s="11"/>
      <c r="I438" s="3">
        <v>62.5</v>
      </c>
      <c r="J438" s="11"/>
      <c r="K438" s="11"/>
      <c r="L438" s="11"/>
      <c r="M438" s="12">
        <f>(PMI!$D438+PMI!$E438)/2</f>
        <v>57.75</v>
      </c>
      <c r="N438" s="12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10">
        <v>30834.0</v>
      </c>
      <c r="B439" s="3">
        <v>58.1</v>
      </c>
      <c r="C439" s="3">
        <v>60.5</v>
      </c>
      <c r="D439" s="3">
        <v>62.3</v>
      </c>
      <c r="E439" s="3">
        <v>51.7</v>
      </c>
      <c r="F439" s="3">
        <v>56.2</v>
      </c>
      <c r="G439" s="3">
        <v>56.3</v>
      </c>
      <c r="H439" s="11"/>
      <c r="I439" s="3">
        <v>64.0</v>
      </c>
      <c r="J439" s="11"/>
      <c r="K439" s="11"/>
      <c r="L439" s="11"/>
      <c r="M439" s="12">
        <f>(PMI!$D439+PMI!$E439)/2</f>
        <v>57</v>
      </c>
      <c r="N439" s="12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10">
        <v>30864.0</v>
      </c>
      <c r="B440" s="3">
        <v>56.1</v>
      </c>
      <c r="C440" s="3">
        <v>54.1</v>
      </c>
      <c r="D440" s="3">
        <v>58.2</v>
      </c>
      <c r="E440" s="3">
        <v>53.5</v>
      </c>
      <c r="F440" s="3">
        <v>59.1</v>
      </c>
      <c r="G440" s="3">
        <v>57.8</v>
      </c>
      <c r="H440" s="11"/>
      <c r="I440" s="3">
        <v>61.3</v>
      </c>
      <c r="J440" s="11"/>
      <c r="K440" s="11"/>
      <c r="L440" s="11"/>
      <c r="M440" s="12">
        <f>(PMI!$D440+PMI!$E440)/2</f>
        <v>55.85</v>
      </c>
      <c r="N440" s="12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10">
        <v>30895.0</v>
      </c>
      <c r="B441" s="3">
        <v>53.0</v>
      </c>
      <c r="C441" s="3">
        <v>54.0</v>
      </c>
      <c r="D441" s="3">
        <v>54.3</v>
      </c>
      <c r="E441" s="3">
        <v>50.4</v>
      </c>
      <c r="F441" s="3">
        <v>55.2</v>
      </c>
      <c r="G441" s="3">
        <v>49.1</v>
      </c>
      <c r="H441" s="11"/>
      <c r="I441" s="3">
        <v>58.7</v>
      </c>
      <c r="J441" s="11"/>
      <c r="K441" s="11"/>
      <c r="L441" s="11"/>
      <c r="M441" s="12">
        <f>(PMI!$D441+PMI!$E441)/2</f>
        <v>52.35</v>
      </c>
      <c r="N441" s="12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10">
        <v>30926.0</v>
      </c>
      <c r="B442" s="3">
        <v>50.0</v>
      </c>
      <c r="C442" s="3">
        <v>47.2</v>
      </c>
      <c r="D442" s="3">
        <v>52.2</v>
      </c>
      <c r="E442" s="3">
        <v>51.1</v>
      </c>
      <c r="F442" s="3">
        <v>52.8</v>
      </c>
      <c r="G442" s="3">
        <v>46.8</v>
      </c>
      <c r="H442" s="11"/>
      <c r="I442" s="3">
        <v>53.4</v>
      </c>
      <c r="J442" s="11"/>
      <c r="K442" s="11"/>
      <c r="L442" s="11"/>
      <c r="M442" s="12">
        <f>(PMI!$D442+PMI!$E442)/2</f>
        <v>51.65</v>
      </c>
      <c r="N442" s="12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10">
        <v>30956.0</v>
      </c>
      <c r="B443" s="3">
        <v>50.8</v>
      </c>
      <c r="C443" s="3">
        <v>52.9</v>
      </c>
      <c r="D443" s="3">
        <v>53.4</v>
      </c>
      <c r="E443" s="3">
        <v>48.1</v>
      </c>
      <c r="F443" s="3">
        <v>49.3</v>
      </c>
      <c r="G443" s="3">
        <v>45.6</v>
      </c>
      <c r="H443" s="11"/>
      <c r="I443" s="3">
        <v>51.7</v>
      </c>
      <c r="J443" s="11"/>
      <c r="K443" s="11"/>
      <c r="L443" s="11"/>
      <c r="M443" s="12">
        <f>(PMI!$D443+PMI!$E443)/2</f>
        <v>50.75</v>
      </c>
      <c r="N443" s="12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10">
        <v>30987.0</v>
      </c>
      <c r="B444" s="3">
        <v>50.3</v>
      </c>
      <c r="C444" s="3">
        <v>52.0</v>
      </c>
      <c r="D444" s="3">
        <v>53.8</v>
      </c>
      <c r="E444" s="3">
        <v>47.4</v>
      </c>
      <c r="F444" s="3">
        <v>48.1</v>
      </c>
      <c r="G444" s="3">
        <v>45.7</v>
      </c>
      <c r="H444" s="11"/>
      <c r="I444" s="3">
        <v>55.0</v>
      </c>
      <c r="J444" s="11"/>
      <c r="K444" s="11"/>
      <c r="L444" s="11"/>
      <c r="M444" s="12">
        <f>(PMI!$D444+PMI!$E444)/2</f>
        <v>50.6</v>
      </c>
      <c r="N444" s="12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10">
        <v>31017.0</v>
      </c>
      <c r="B445" s="3">
        <v>50.6</v>
      </c>
      <c r="C445" s="3">
        <v>52.8</v>
      </c>
      <c r="D445" s="3">
        <v>54.9</v>
      </c>
      <c r="E445" s="3">
        <v>45.2</v>
      </c>
      <c r="F445" s="3">
        <v>48.8</v>
      </c>
      <c r="G445" s="3">
        <v>47.3</v>
      </c>
      <c r="H445" s="11"/>
      <c r="I445" s="3">
        <v>50.7</v>
      </c>
      <c r="J445" s="11"/>
      <c r="K445" s="11"/>
      <c r="L445" s="11"/>
      <c r="M445" s="12">
        <f>(PMI!$D445+PMI!$E445)/2</f>
        <v>50.05</v>
      </c>
      <c r="N445" s="12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10">
        <v>31048.0</v>
      </c>
      <c r="B446" s="3">
        <v>50.3</v>
      </c>
      <c r="C446" s="3">
        <v>51.8</v>
      </c>
      <c r="D446" s="3">
        <v>54.9</v>
      </c>
      <c r="E446" s="3">
        <v>44.4</v>
      </c>
      <c r="F446" s="3">
        <v>50.4</v>
      </c>
      <c r="G446" s="3">
        <v>45.9</v>
      </c>
      <c r="H446" s="11"/>
      <c r="I446" s="3">
        <v>47.6</v>
      </c>
      <c r="J446" s="11"/>
      <c r="K446" s="11"/>
      <c r="L446" s="11"/>
      <c r="M446" s="12">
        <f>(PMI!$D446+PMI!$E446)/2</f>
        <v>49.65</v>
      </c>
      <c r="N446" s="12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10">
        <v>31079.0</v>
      </c>
      <c r="B447" s="3">
        <v>49.9</v>
      </c>
      <c r="C447" s="3">
        <v>51.8</v>
      </c>
      <c r="D447" s="3">
        <v>54.2</v>
      </c>
      <c r="E447" s="3">
        <v>45.2</v>
      </c>
      <c r="F447" s="3">
        <v>48.6</v>
      </c>
      <c r="G447" s="3">
        <v>44.8</v>
      </c>
      <c r="H447" s="11"/>
      <c r="I447" s="3">
        <v>44.8</v>
      </c>
      <c r="J447" s="11"/>
      <c r="K447" s="11"/>
      <c r="L447" s="11"/>
      <c r="M447" s="12">
        <f>(PMI!$D447+PMI!$E447)/2</f>
        <v>49.7</v>
      </c>
      <c r="N447" s="12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10">
        <v>31107.0</v>
      </c>
      <c r="B448" s="3">
        <v>47.8</v>
      </c>
      <c r="C448" s="3">
        <v>49.1</v>
      </c>
      <c r="D448" s="3">
        <v>51.2</v>
      </c>
      <c r="E448" s="3">
        <v>44.2</v>
      </c>
      <c r="F448" s="3">
        <v>46.7</v>
      </c>
      <c r="G448" s="3">
        <v>44.0</v>
      </c>
      <c r="H448" s="11"/>
      <c r="I448" s="3">
        <v>46.2</v>
      </c>
      <c r="J448" s="11"/>
      <c r="K448" s="11"/>
      <c r="L448" s="11"/>
      <c r="M448" s="12">
        <f>(PMI!$D448+PMI!$E448)/2</f>
        <v>47.7</v>
      </c>
      <c r="N448" s="12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10">
        <v>31138.0</v>
      </c>
      <c r="B449" s="3">
        <v>48.2</v>
      </c>
      <c r="C449" s="3">
        <v>51.3</v>
      </c>
      <c r="D449" s="3">
        <v>51.6</v>
      </c>
      <c r="E449" s="3">
        <v>43.2</v>
      </c>
      <c r="F449" s="3">
        <v>46.1</v>
      </c>
      <c r="G449" s="3">
        <v>43.8</v>
      </c>
      <c r="H449" s="11"/>
      <c r="I449" s="3">
        <v>44.1</v>
      </c>
      <c r="J449" s="11"/>
      <c r="K449" s="11"/>
      <c r="L449" s="11"/>
      <c r="M449" s="12">
        <f>(PMI!$D449+PMI!$E449)/2</f>
        <v>47.4</v>
      </c>
      <c r="N449" s="12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10">
        <v>31168.0</v>
      </c>
      <c r="B450" s="3">
        <v>47.1</v>
      </c>
      <c r="C450" s="3">
        <v>49.5</v>
      </c>
      <c r="D450" s="3">
        <v>51.9</v>
      </c>
      <c r="E450" s="3">
        <v>40.4</v>
      </c>
      <c r="F450" s="3">
        <v>48.0</v>
      </c>
      <c r="G450" s="3">
        <v>40.4</v>
      </c>
      <c r="H450" s="11"/>
      <c r="I450" s="3">
        <v>48.7</v>
      </c>
      <c r="J450" s="11"/>
      <c r="K450" s="11"/>
      <c r="L450" s="11"/>
      <c r="M450" s="12">
        <f>(PMI!$D450+PMI!$E450)/2</f>
        <v>46.15</v>
      </c>
      <c r="N450" s="12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10">
        <v>31199.0</v>
      </c>
      <c r="B451" s="3">
        <v>47.8</v>
      </c>
      <c r="C451" s="3">
        <v>50.7</v>
      </c>
      <c r="D451" s="3">
        <v>50.5</v>
      </c>
      <c r="E451" s="3">
        <v>44.5</v>
      </c>
      <c r="F451" s="3">
        <v>47.1</v>
      </c>
      <c r="G451" s="3">
        <v>40.2</v>
      </c>
      <c r="H451" s="11"/>
      <c r="I451" s="3">
        <v>42.4</v>
      </c>
      <c r="J451" s="11"/>
      <c r="K451" s="11"/>
      <c r="L451" s="11"/>
      <c r="M451" s="12">
        <f>(PMI!$D451+PMI!$E451)/2</f>
        <v>47.5</v>
      </c>
      <c r="N451" s="12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10">
        <v>31229.0</v>
      </c>
      <c r="B452" s="3">
        <v>47.9</v>
      </c>
      <c r="C452" s="3">
        <v>52.5</v>
      </c>
      <c r="D452" s="3">
        <v>48.2</v>
      </c>
      <c r="E452" s="3">
        <v>45.2</v>
      </c>
      <c r="F452" s="3">
        <v>45.7</v>
      </c>
      <c r="G452" s="3">
        <v>41.8</v>
      </c>
      <c r="H452" s="11"/>
      <c r="I452" s="3">
        <v>45.6</v>
      </c>
      <c r="J452" s="11"/>
      <c r="K452" s="11"/>
      <c r="L452" s="11"/>
      <c r="M452" s="12">
        <f>(PMI!$D452+PMI!$E452)/2</f>
        <v>46.7</v>
      </c>
      <c r="N452" s="12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10">
        <v>31260.0</v>
      </c>
      <c r="B453" s="3">
        <v>47.7</v>
      </c>
      <c r="C453" s="3">
        <v>51.8</v>
      </c>
      <c r="D453" s="3">
        <v>50.6</v>
      </c>
      <c r="E453" s="3">
        <v>41.1</v>
      </c>
      <c r="F453" s="3">
        <v>46.6</v>
      </c>
      <c r="G453" s="3">
        <v>43.0</v>
      </c>
      <c r="H453" s="11"/>
      <c r="I453" s="3">
        <v>44.0</v>
      </c>
      <c r="J453" s="11"/>
      <c r="K453" s="11"/>
      <c r="L453" s="11"/>
      <c r="M453" s="12">
        <f>(PMI!$D453+PMI!$E453)/2</f>
        <v>45.85</v>
      </c>
      <c r="N453" s="12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10">
        <v>31291.0</v>
      </c>
      <c r="B454" s="3">
        <v>49.9</v>
      </c>
      <c r="C454" s="3">
        <v>54.6</v>
      </c>
      <c r="D454" s="3">
        <v>52.8</v>
      </c>
      <c r="E454" s="3">
        <v>41.8</v>
      </c>
      <c r="F454" s="3">
        <v>49.5</v>
      </c>
      <c r="G454" s="3">
        <v>45.5</v>
      </c>
      <c r="H454" s="11"/>
      <c r="I454" s="3">
        <v>44.3</v>
      </c>
      <c r="J454" s="11"/>
      <c r="K454" s="11"/>
      <c r="L454" s="11"/>
      <c r="M454" s="12">
        <f>(PMI!$D454+PMI!$E454)/2</f>
        <v>47.3</v>
      </c>
      <c r="N454" s="12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10">
        <v>31321.0</v>
      </c>
      <c r="B455" s="3">
        <v>50.9</v>
      </c>
      <c r="C455" s="3">
        <v>53.4</v>
      </c>
      <c r="D455" s="3">
        <v>54.9</v>
      </c>
      <c r="E455" s="3">
        <v>45.2</v>
      </c>
      <c r="F455" s="3">
        <v>50.0</v>
      </c>
      <c r="G455" s="3">
        <v>45.9</v>
      </c>
      <c r="H455" s="11"/>
      <c r="I455" s="3">
        <v>46.4</v>
      </c>
      <c r="J455" s="11"/>
      <c r="K455" s="11"/>
      <c r="L455" s="11"/>
      <c r="M455" s="12">
        <f>(PMI!$D455+PMI!$E455)/2</f>
        <v>50.05</v>
      </c>
      <c r="N455" s="12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10">
        <v>31352.0</v>
      </c>
      <c r="B456" s="3">
        <v>52.0</v>
      </c>
      <c r="C456" s="3">
        <v>57.2</v>
      </c>
      <c r="D456" s="3">
        <v>56.5</v>
      </c>
      <c r="E456" s="3">
        <v>44.5</v>
      </c>
      <c r="F456" s="3">
        <v>48.5</v>
      </c>
      <c r="G456" s="3">
        <v>45.2</v>
      </c>
      <c r="H456" s="11"/>
      <c r="I456" s="3">
        <v>45.7</v>
      </c>
      <c r="J456" s="11"/>
      <c r="K456" s="11"/>
      <c r="L456" s="11"/>
      <c r="M456" s="12">
        <f>(PMI!$D456+PMI!$E456)/2</f>
        <v>50.5</v>
      </c>
      <c r="N456" s="12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10">
        <v>31382.0</v>
      </c>
      <c r="B457" s="3">
        <v>50.7</v>
      </c>
      <c r="C457" s="3">
        <v>54.8</v>
      </c>
      <c r="D457" s="3">
        <v>55.3</v>
      </c>
      <c r="E457" s="3">
        <v>42.6</v>
      </c>
      <c r="F457" s="3">
        <v>49.3</v>
      </c>
      <c r="G457" s="3">
        <v>45.2</v>
      </c>
      <c r="H457" s="11"/>
      <c r="I457" s="3">
        <v>48.7</v>
      </c>
      <c r="J457" s="11"/>
      <c r="K457" s="11"/>
      <c r="L457" s="11"/>
      <c r="M457" s="12">
        <f>(PMI!$D457+PMI!$E457)/2</f>
        <v>48.95</v>
      </c>
      <c r="N457" s="12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10">
        <v>31413.0</v>
      </c>
      <c r="B458" s="3">
        <v>51.2</v>
      </c>
      <c r="C458" s="3">
        <v>56.7</v>
      </c>
      <c r="D458" s="3">
        <v>52.9</v>
      </c>
      <c r="E458" s="3">
        <v>45.1</v>
      </c>
      <c r="F458" s="3">
        <v>50.1</v>
      </c>
      <c r="G458" s="3">
        <v>44.9</v>
      </c>
      <c r="H458" s="11"/>
      <c r="I458" s="3">
        <v>48.4</v>
      </c>
      <c r="J458" s="11"/>
      <c r="K458" s="11"/>
      <c r="L458" s="11"/>
      <c r="M458" s="12">
        <f>(PMI!$D458+PMI!$E458)/2</f>
        <v>49</v>
      </c>
      <c r="N458" s="12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10">
        <v>31444.0</v>
      </c>
      <c r="B459" s="3">
        <v>51.0</v>
      </c>
      <c r="C459" s="3">
        <v>57.1</v>
      </c>
      <c r="D459" s="3">
        <v>53.6</v>
      </c>
      <c r="E459" s="3">
        <v>43.0</v>
      </c>
      <c r="F459" s="3">
        <v>49.8</v>
      </c>
      <c r="G459" s="3">
        <v>44.7</v>
      </c>
      <c r="H459" s="11"/>
      <c r="I459" s="3">
        <v>49.7</v>
      </c>
      <c r="J459" s="11"/>
      <c r="K459" s="11"/>
      <c r="L459" s="11"/>
      <c r="M459" s="12">
        <f>(PMI!$D459+PMI!$E459)/2</f>
        <v>48.3</v>
      </c>
      <c r="N459" s="12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10">
        <v>31472.0</v>
      </c>
      <c r="B460" s="3">
        <v>51.0</v>
      </c>
      <c r="C460" s="3">
        <v>54.5</v>
      </c>
      <c r="D460" s="3">
        <v>56.0</v>
      </c>
      <c r="E460" s="3">
        <v>43.4</v>
      </c>
      <c r="F460" s="3">
        <v>50.5</v>
      </c>
      <c r="G460" s="3">
        <v>43.7</v>
      </c>
      <c r="H460" s="11"/>
      <c r="I460" s="3">
        <v>49.0</v>
      </c>
      <c r="J460" s="11"/>
      <c r="K460" s="11"/>
      <c r="L460" s="11"/>
      <c r="M460" s="12">
        <f>(PMI!$D460+PMI!$E460)/2</f>
        <v>49.7</v>
      </c>
      <c r="N460" s="12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10">
        <v>31503.0</v>
      </c>
      <c r="B461" s="3">
        <v>49.7</v>
      </c>
      <c r="C461" s="3">
        <v>54.4</v>
      </c>
      <c r="D461" s="3">
        <v>52.5</v>
      </c>
      <c r="E461" s="3">
        <v>42.2</v>
      </c>
      <c r="F461" s="3">
        <v>50.7</v>
      </c>
      <c r="G461" s="3">
        <v>42.5</v>
      </c>
      <c r="H461" s="11"/>
      <c r="I461" s="3">
        <v>42.8</v>
      </c>
      <c r="J461" s="11"/>
      <c r="K461" s="11"/>
      <c r="L461" s="11"/>
      <c r="M461" s="12">
        <f>(PMI!$D461+PMI!$E461)/2</f>
        <v>47.35</v>
      </c>
      <c r="N461" s="12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10">
        <v>31533.0</v>
      </c>
      <c r="B462" s="3">
        <v>53.4</v>
      </c>
      <c r="C462" s="3">
        <v>61.1</v>
      </c>
      <c r="D462" s="3">
        <v>55.1</v>
      </c>
      <c r="E462" s="3">
        <v>45.4</v>
      </c>
      <c r="F462" s="3">
        <v>50.2</v>
      </c>
      <c r="G462" s="3">
        <v>46.9</v>
      </c>
      <c r="H462" s="11"/>
      <c r="I462" s="3">
        <v>49.5</v>
      </c>
      <c r="J462" s="11"/>
      <c r="K462" s="11"/>
      <c r="L462" s="11"/>
      <c r="M462" s="12">
        <f>(PMI!$D462+PMI!$E462)/2</f>
        <v>50.25</v>
      </c>
      <c r="N462" s="12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10">
        <v>31564.0</v>
      </c>
      <c r="B463" s="3">
        <v>50.5</v>
      </c>
      <c r="C463" s="3">
        <v>55.3</v>
      </c>
      <c r="D463" s="3">
        <v>53.5</v>
      </c>
      <c r="E463" s="3">
        <v>43.3</v>
      </c>
      <c r="F463" s="3">
        <v>49.9</v>
      </c>
      <c r="G463" s="3">
        <v>44.4</v>
      </c>
      <c r="H463" s="11"/>
      <c r="I463" s="3">
        <v>51.3</v>
      </c>
      <c r="J463" s="11"/>
      <c r="K463" s="11"/>
      <c r="L463" s="11"/>
      <c r="M463" s="12">
        <f>(PMI!$D463+PMI!$E463)/2</f>
        <v>48.4</v>
      </c>
      <c r="N463" s="12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10">
        <v>31594.0</v>
      </c>
      <c r="B464" s="3">
        <v>48.0</v>
      </c>
      <c r="C464" s="3">
        <v>51.2</v>
      </c>
      <c r="D464" s="3">
        <v>49.3</v>
      </c>
      <c r="E464" s="3">
        <v>41.9</v>
      </c>
      <c r="F464" s="3">
        <v>49.9</v>
      </c>
      <c r="G464" s="3">
        <v>43.9</v>
      </c>
      <c r="H464" s="11"/>
      <c r="I464" s="3">
        <v>49.3</v>
      </c>
      <c r="J464" s="11"/>
      <c r="K464" s="11"/>
      <c r="L464" s="11"/>
      <c r="M464" s="12">
        <f>(PMI!$D464+PMI!$E464)/2</f>
        <v>45.6</v>
      </c>
      <c r="N464" s="12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10">
        <v>31625.0</v>
      </c>
      <c r="B465" s="3">
        <v>52.6</v>
      </c>
      <c r="C465" s="3">
        <v>58.4</v>
      </c>
      <c r="D465" s="3">
        <v>56.0</v>
      </c>
      <c r="E465" s="3">
        <v>44.5</v>
      </c>
      <c r="F465" s="3">
        <v>50.8</v>
      </c>
      <c r="G465" s="3">
        <v>45.9</v>
      </c>
      <c r="H465" s="11"/>
      <c r="I465" s="3">
        <v>51.5</v>
      </c>
      <c r="J465" s="11"/>
      <c r="K465" s="11"/>
      <c r="L465" s="11"/>
      <c r="M465" s="12">
        <f>(PMI!$D465+PMI!$E465)/2</f>
        <v>50.25</v>
      </c>
      <c r="N465" s="12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10">
        <v>31656.0</v>
      </c>
      <c r="B466" s="3">
        <v>52.4</v>
      </c>
      <c r="C466" s="3">
        <v>57.3</v>
      </c>
      <c r="D466" s="3">
        <v>56.5</v>
      </c>
      <c r="E466" s="3">
        <v>43.9</v>
      </c>
      <c r="F466" s="3">
        <v>49.6</v>
      </c>
      <c r="G466" s="3">
        <v>48.2</v>
      </c>
      <c r="H466" s="11"/>
      <c r="I466" s="3">
        <v>57.1</v>
      </c>
      <c r="J466" s="11"/>
      <c r="K466" s="11"/>
      <c r="L466" s="11"/>
      <c r="M466" s="12">
        <f>(PMI!$D466+PMI!$E466)/2</f>
        <v>50.2</v>
      </c>
      <c r="N466" s="12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10">
        <v>31686.0</v>
      </c>
      <c r="B467" s="3">
        <v>51.2</v>
      </c>
      <c r="C467" s="3">
        <v>54.5</v>
      </c>
      <c r="D467" s="3">
        <v>54.2</v>
      </c>
      <c r="E467" s="3">
        <v>43.7</v>
      </c>
      <c r="F467" s="3">
        <v>51.3</v>
      </c>
      <c r="G467" s="3">
        <v>48.2</v>
      </c>
      <c r="H467" s="11"/>
      <c r="I467" s="3">
        <v>56.9</v>
      </c>
      <c r="J467" s="11"/>
      <c r="K467" s="11"/>
      <c r="L467" s="11"/>
      <c r="M467" s="12">
        <f>(PMI!$D467+PMI!$E467)/2</f>
        <v>48.95</v>
      </c>
      <c r="N467" s="12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10">
        <v>31717.0</v>
      </c>
      <c r="B468" s="3">
        <v>51.2</v>
      </c>
      <c r="C468" s="3">
        <v>57.0</v>
      </c>
      <c r="D468" s="3">
        <v>54.7</v>
      </c>
      <c r="E468" s="3">
        <v>42.2</v>
      </c>
      <c r="F468" s="3">
        <v>52.0</v>
      </c>
      <c r="G468" s="3">
        <v>42.2</v>
      </c>
      <c r="H468" s="11"/>
      <c r="I468" s="3">
        <v>57.1</v>
      </c>
      <c r="J468" s="11"/>
      <c r="K468" s="11"/>
      <c r="L468" s="11"/>
      <c r="M468" s="12">
        <f>(PMI!$D468+PMI!$E468)/2</f>
        <v>48.45</v>
      </c>
      <c r="N468" s="12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10">
        <v>31747.0</v>
      </c>
      <c r="B469" s="3">
        <v>50.5</v>
      </c>
      <c r="C469" s="3">
        <v>55.4</v>
      </c>
      <c r="D469" s="3">
        <v>53.0</v>
      </c>
      <c r="E469" s="3">
        <v>44.5</v>
      </c>
      <c r="F469" s="3">
        <v>52.8</v>
      </c>
      <c r="G469" s="3">
        <v>38.4</v>
      </c>
      <c r="H469" s="11"/>
      <c r="I469" s="3">
        <v>57.0</v>
      </c>
      <c r="J469" s="11"/>
      <c r="K469" s="11"/>
      <c r="L469" s="11"/>
      <c r="M469" s="12">
        <f>(PMI!$D469+PMI!$E469)/2</f>
        <v>48.75</v>
      </c>
      <c r="N469" s="12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10">
        <v>31778.0</v>
      </c>
      <c r="B470" s="3">
        <v>54.9</v>
      </c>
      <c r="C470" s="3">
        <v>59.8</v>
      </c>
      <c r="D470" s="3">
        <v>60.7</v>
      </c>
      <c r="E470" s="3">
        <v>47.3</v>
      </c>
      <c r="F470" s="3">
        <v>51.5</v>
      </c>
      <c r="G470" s="3">
        <v>46.3</v>
      </c>
      <c r="H470" s="11"/>
      <c r="I470" s="3">
        <v>61.1</v>
      </c>
      <c r="J470" s="11"/>
      <c r="K470" s="11"/>
      <c r="L470" s="11"/>
      <c r="M470" s="12">
        <f>(PMI!$D470+PMI!$E470)/2</f>
        <v>54</v>
      </c>
      <c r="N470" s="12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10">
        <v>31809.0</v>
      </c>
      <c r="B471" s="3">
        <v>52.6</v>
      </c>
      <c r="C471" s="3">
        <v>55.4</v>
      </c>
      <c r="D471" s="3">
        <v>57.3</v>
      </c>
      <c r="E471" s="3">
        <v>46.6</v>
      </c>
      <c r="F471" s="3">
        <v>51.2</v>
      </c>
      <c r="G471" s="3">
        <v>46.7</v>
      </c>
      <c r="H471" s="11"/>
      <c r="I471" s="3">
        <v>62.5</v>
      </c>
      <c r="J471" s="11"/>
      <c r="K471" s="11"/>
      <c r="L471" s="11"/>
      <c r="M471" s="12">
        <f>(PMI!$D471+PMI!$E471)/2</f>
        <v>51.95</v>
      </c>
      <c r="N471" s="12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10">
        <v>31837.0</v>
      </c>
      <c r="B472" s="3">
        <v>55.0</v>
      </c>
      <c r="C472" s="3">
        <v>61.6</v>
      </c>
      <c r="D472" s="3">
        <v>57.6</v>
      </c>
      <c r="E472" s="3">
        <v>48.3</v>
      </c>
      <c r="F472" s="3">
        <v>51.9</v>
      </c>
      <c r="G472" s="3">
        <v>46.5</v>
      </c>
      <c r="H472" s="11"/>
      <c r="I472" s="3">
        <v>62.7</v>
      </c>
      <c r="J472" s="11"/>
      <c r="K472" s="11"/>
      <c r="L472" s="11"/>
      <c r="M472" s="12">
        <f>(PMI!$D472+PMI!$E472)/2</f>
        <v>52.95</v>
      </c>
      <c r="N472" s="12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10">
        <v>31868.0</v>
      </c>
      <c r="B473" s="3">
        <v>55.5</v>
      </c>
      <c r="C473" s="3">
        <v>59.8</v>
      </c>
      <c r="D473" s="3">
        <v>59.3</v>
      </c>
      <c r="E473" s="3">
        <v>51.3</v>
      </c>
      <c r="F473" s="3">
        <v>52.8</v>
      </c>
      <c r="G473" s="3">
        <v>45.9</v>
      </c>
      <c r="H473" s="11"/>
      <c r="I473" s="3">
        <v>65.6</v>
      </c>
      <c r="J473" s="11"/>
      <c r="K473" s="11"/>
      <c r="L473" s="11"/>
      <c r="M473" s="12">
        <f>(PMI!$D473+PMI!$E473)/2</f>
        <v>55.3</v>
      </c>
      <c r="N473" s="12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10">
        <v>31898.0</v>
      </c>
      <c r="B474" s="3">
        <v>57.2</v>
      </c>
      <c r="C474" s="3">
        <v>63.4</v>
      </c>
      <c r="D474" s="3">
        <v>60.6</v>
      </c>
      <c r="E474" s="3">
        <v>50.9</v>
      </c>
      <c r="F474" s="3">
        <v>54.0</v>
      </c>
      <c r="G474" s="3">
        <v>47.5</v>
      </c>
      <c r="H474" s="11"/>
      <c r="I474" s="3">
        <v>67.6</v>
      </c>
      <c r="J474" s="11"/>
      <c r="K474" s="11"/>
      <c r="L474" s="11"/>
      <c r="M474" s="12">
        <f>(PMI!$D474+PMI!$E474)/2</f>
        <v>55.75</v>
      </c>
      <c r="N474" s="12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10">
        <v>31929.0</v>
      </c>
      <c r="B475" s="3">
        <v>57.4</v>
      </c>
      <c r="C475" s="3">
        <v>61.2</v>
      </c>
      <c r="D475" s="3">
        <v>60.1</v>
      </c>
      <c r="E475" s="3">
        <v>51.4</v>
      </c>
      <c r="F475" s="3">
        <v>56.8</v>
      </c>
      <c r="G475" s="3">
        <v>52.4</v>
      </c>
      <c r="H475" s="11"/>
      <c r="I475" s="3">
        <v>72.6</v>
      </c>
      <c r="J475" s="11"/>
      <c r="K475" s="11"/>
      <c r="L475" s="11"/>
      <c r="M475" s="12">
        <f>(PMI!$D475+PMI!$E475)/2</f>
        <v>55.75</v>
      </c>
      <c r="N475" s="12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10">
        <v>31959.0</v>
      </c>
      <c r="B476" s="3">
        <v>57.5</v>
      </c>
      <c r="C476" s="3">
        <v>64.0</v>
      </c>
      <c r="D476" s="3">
        <v>62.5</v>
      </c>
      <c r="E476" s="3">
        <v>46.6</v>
      </c>
      <c r="F476" s="3">
        <v>58.9</v>
      </c>
      <c r="G476" s="3">
        <v>44.7</v>
      </c>
      <c r="H476" s="11"/>
      <c r="I476" s="3">
        <v>74.3</v>
      </c>
      <c r="J476" s="11"/>
      <c r="K476" s="11"/>
      <c r="L476" s="11"/>
      <c r="M476" s="12">
        <f>(PMI!$D476+PMI!$E476)/2</f>
        <v>54.55</v>
      </c>
      <c r="N476" s="12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10">
        <v>31990.0</v>
      </c>
      <c r="B477" s="3">
        <v>59.3</v>
      </c>
      <c r="C477" s="3">
        <v>62.7</v>
      </c>
      <c r="D477" s="3">
        <v>64.2</v>
      </c>
      <c r="E477" s="3">
        <v>52.4</v>
      </c>
      <c r="F477" s="3">
        <v>60.3</v>
      </c>
      <c r="G477" s="3">
        <v>49.3</v>
      </c>
      <c r="H477" s="11"/>
      <c r="I477" s="3">
        <v>77.4</v>
      </c>
      <c r="J477" s="11"/>
      <c r="K477" s="11"/>
      <c r="L477" s="11"/>
      <c r="M477" s="12">
        <f>(PMI!$D477+PMI!$E477)/2</f>
        <v>58.3</v>
      </c>
      <c r="N477" s="12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10">
        <v>32021.0</v>
      </c>
      <c r="B478" s="3">
        <v>60.0</v>
      </c>
      <c r="C478" s="3">
        <v>62.1</v>
      </c>
      <c r="D478" s="3">
        <v>65.5</v>
      </c>
      <c r="E478" s="3">
        <v>54.5</v>
      </c>
      <c r="F478" s="3">
        <v>61.5</v>
      </c>
      <c r="G478" s="3">
        <v>49.2</v>
      </c>
      <c r="H478" s="11"/>
      <c r="I478" s="3">
        <v>77.3</v>
      </c>
      <c r="J478" s="11"/>
      <c r="K478" s="11"/>
      <c r="L478" s="11"/>
      <c r="M478" s="12">
        <f>(PMI!$D478+PMI!$E478)/2</f>
        <v>60</v>
      </c>
      <c r="N478" s="12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10">
        <v>32051.0</v>
      </c>
      <c r="B479" s="3">
        <v>60.7</v>
      </c>
      <c r="C479" s="3">
        <v>65.3</v>
      </c>
      <c r="D479" s="3">
        <v>63.2</v>
      </c>
      <c r="E479" s="3">
        <v>54.6</v>
      </c>
      <c r="F479" s="3">
        <v>62.2</v>
      </c>
      <c r="G479" s="3">
        <v>50.7</v>
      </c>
      <c r="H479" s="11"/>
      <c r="I479" s="3">
        <v>78.1</v>
      </c>
      <c r="J479" s="11"/>
      <c r="K479" s="11"/>
      <c r="L479" s="11"/>
      <c r="M479" s="12">
        <f>(PMI!$D479+PMI!$E479)/2</f>
        <v>58.9</v>
      </c>
      <c r="N479" s="12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10">
        <v>32082.0</v>
      </c>
      <c r="B480" s="3">
        <v>58.8</v>
      </c>
      <c r="C480" s="3">
        <v>59.3</v>
      </c>
      <c r="D480" s="3">
        <v>61.9</v>
      </c>
      <c r="E480" s="3">
        <v>53.7</v>
      </c>
      <c r="F480" s="3">
        <v>64.9</v>
      </c>
      <c r="G480" s="3">
        <v>51.2</v>
      </c>
      <c r="H480" s="11"/>
      <c r="I480" s="3">
        <v>79.2</v>
      </c>
      <c r="J480" s="11"/>
      <c r="K480" s="11"/>
      <c r="L480" s="11"/>
      <c r="M480" s="12">
        <f>(PMI!$D480+PMI!$E480)/2</f>
        <v>57.8</v>
      </c>
      <c r="N480" s="12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10">
        <v>32112.0</v>
      </c>
      <c r="B481" s="3">
        <v>61.0</v>
      </c>
      <c r="C481" s="3">
        <v>61.5</v>
      </c>
      <c r="D481" s="3">
        <v>65.1</v>
      </c>
      <c r="E481" s="3">
        <v>59.1</v>
      </c>
      <c r="F481" s="3">
        <v>62.7</v>
      </c>
      <c r="G481" s="3">
        <v>50.8</v>
      </c>
      <c r="H481" s="11"/>
      <c r="I481" s="3">
        <v>80.2</v>
      </c>
      <c r="J481" s="11"/>
      <c r="K481" s="11"/>
      <c r="L481" s="11"/>
      <c r="M481" s="12">
        <f>(PMI!$D481+PMI!$E481)/2</f>
        <v>62.1</v>
      </c>
      <c r="N481" s="12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10">
        <v>32143.0</v>
      </c>
      <c r="B482" s="3">
        <v>57.5</v>
      </c>
      <c r="C482" s="3">
        <v>60.3</v>
      </c>
      <c r="D482" s="3">
        <v>59.3</v>
      </c>
      <c r="E482" s="3">
        <v>51.2</v>
      </c>
      <c r="F482" s="3">
        <v>62.0</v>
      </c>
      <c r="G482" s="3">
        <v>50.7</v>
      </c>
      <c r="H482" s="11"/>
      <c r="I482" s="3">
        <v>78.7</v>
      </c>
      <c r="J482" s="11"/>
      <c r="K482" s="11"/>
      <c r="L482" s="11"/>
      <c r="M482" s="12">
        <f>(PMI!$D482+PMI!$E482)/2</f>
        <v>55.25</v>
      </c>
      <c r="N482" s="12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10">
        <v>32174.0</v>
      </c>
      <c r="B483" s="3">
        <v>56.2</v>
      </c>
      <c r="C483" s="3">
        <v>57.0</v>
      </c>
      <c r="D483" s="3">
        <v>58.6</v>
      </c>
      <c r="E483" s="3">
        <v>52.5</v>
      </c>
      <c r="F483" s="3">
        <v>61.2</v>
      </c>
      <c r="G483" s="3">
        <v>48.1</v>
      </c>
      <c r="H483" s="11"/>
      <c r="I483" s="3">
        <v>81.2</v>
      </c>
      <c r="J483" s="11"/>
      <c r="K483" s="11"/>
      <c r="L483" s="11"/>
      <c r="M483" s="12">
        <f>(PMI!$D483+PMI!$E483)/2</f>
        <v>55.55</v>
      </c>
      <c r="N483" s="12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10">
        <v>32203.0</v>
      </c>
      <c r="B484" s="3">
        <v>54.6</v>
      </c>
      <c r="C484" s="3">
        <v>57.9</v>
      </c>
      <c r="D484" s="3">
        <v>57.7</v>
      </c>
      <c r="E484" s="3">
        <v>50.2</v>
      </c>
      <c r="F484" s="3">
        <v>57.3</v>
      </c>
      <c r="G484" s="3">
        <v>41.9</v>
      </c>
      <c r="H484" s="11"/>
      <c r="I484" s="3">
        <v>74.5</v>
      </c>
      <c r="J484" s="11"/>
      <c r="K484" s="3">
        <v>64.5</v>
      </c>
      <c r="L484" s="11"/>
      <c r="M484" s="12">
        <f>(PMI!$D484+PMI!$E484)/2</f>
        <v>53.95</v>
      </c>
      <c r="N484" s="12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10">
        <v>32234.0</v>
      </c>
      <c r="B485" s="3">
        <v>55.8</v>
      </c>
      <c r="C485" s="3">
        <v>57.6</v>
      </c>
      <c r="D485" s="3">
        <v>59.1</v>
      </c>
      <c r="E485" s="3">
        <v>49.2</v>
      </c>
      <c r="F485" s="3">
        <v>58.6</v>
      </c>
      <c r="G485" s="3">
        <v>51.0</v>
      </c>
      <c r="H485" s="11"/>
      <c r="I485" s="3">
        <v>81.0</v>
      </c>
      <c r="J485" s="11"/>
      <c r="K485" s="3">
        <v>64.0</v>
      </c>
      <c r="L485" s="11"/>
      <c r="M485" s="12">
        <f>(PMI!$D485+PMI!$E485)/2</f>
        <v>54.15</v>
      </c>
      <c r="N485" s="12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10">
        <v>32264.0</v>
      </c>
      <c r="B486" s="3">
        <v>55.5</v>
      </c>
      <c r="C486" s="3">
        <v>57.7</v>
      </c>
      <c r="D486" s="3">
        <v>58.0</v>
      </c>
      <c r="E486" s="3">
        <v>50.4</v>
      </c>
      <c r="F486" s="3">
        <v>56.9</v>
      </c>
      <c r="G486" s="3">
        <v>51.2</v>
      </c>
      <c r="H486" s="11"/>
      <c r="I486" s="3">
        <v>81.5</v>
      </c>
      <c r="J486" s="11"/>
      <c r="K486" s="3">
        <v>65.5</v>
      </c>
      <c r="L486" s="11"/>
      <c r="M486" s="12">
        <f>(PMI!$D486+PMI!$E486)/2</f>
        <v>54.2</v>
      </c>
      <c r="N486" s="12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10">
        <v>32295.0</v>
      </c>
      <c r="B487" s="3">
        <v>59.3</v>
      </c>
      <c r="C487" s="3">
        <v>63.6</v>
      </c>
      <c r="D487" s="3">
        <v>61.7</v>
      </c>
      <c r="E487" s="3">
        <v>50.5</v>
      </c>
      <c r="F487" s="3">
        <v>65.6</v>
      </c>
      <c r="G487" s="3">
        <v>48.2</v>
      </c>
      <c r="H487" s="11"/>
      <c r="I487" s="3">
        <v>80.7</v>
      </c>
      <c r="J487" s="11"/>
      <c r="K487" s="3">
        <v>66.0</v>
      </c>
      <c r="L487" s="11"/>
      <c r="M487" s="12">
        <f>(PMI!$D487+PMI!$E487)/2</f>
        <v>56.1</v>
      </c>
      <c r="N487" s="12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10">
        <v>32325.0</v>
      </c>
      <c r="B488" s="3">
        <v>58.2</v>
      </c>
      <c r="C488" s="3">
        <v>60.6</v>
      </c>
      <c r="D488" s="3">
        <v>61.2</v>
      </c>
      <c r="E488" s="3">
        <v>52.5</v>
      </c>
      <c r="F488" s="3">
        <v>58.4</v>
      </c>
      <c r="G488" s="3">
        <v>54.5</v>
      </c>
      <c r="H488" s="11"/>
      <c r="I488" s="3">
        <v>81.0</v>
      </c>
      <c r="J488" s="11"/>
      <c r="K488" s="3">
        <v>67.5</v>
      </c>
      <c r="L488" s="11"/>
      <c r="M488" s="12">
        <f>(PMI!$D488+PMI!$E488)/2</f>
        <v>56.85</v>
      </c>
      <c r="N488" s="12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10">
        <v>32356.0</v>
      </c>
      <c r="B489" s="3">
        <v>56.0</v>
      </c>
      <c r="C489" s="3">
        <v>59.2</v>
      </c>
      <c r="D489" s="3">
        <v>57.8</v>
      </c>
      <c r="E489" s="3">
        <v>51.2</v>
      </c>
      <c r="F489" s="3">
        <v>57.4</v>
      </c>
      <c r="G489" s="3">
        <v>49.4</v>
      </c>
      <c r="H489" s="11"/>
      <c r="I489" s="3">
        <v>78.2</v>
      </c>
      <c r="J489" s="11"/>
      <c r="K489" s="3">
        <v>59.9</v>
      </c>
      <c r="L489" s="11"/>
      <c r="M489" s="12">
        <f>(PMI!$D489+PMI!$E489)/2</f>
        <v>54.5</v>
      </c>
      <c r="N489" s="12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10">
        <v>32387.0</v>
      </c>
      <c r="B490" s="3">
        <v>54.5</v>
      </c>
      <c r="C490" s="3">
        <v>58.6</v>
      </c>
      <c r="D490" s="3">
        <v>54.8</v>
      </c>
      <c r="E490" s="3">
        <v>50.2</v>
      </c>
      <c r="F490" s="3">
        <v>55.2</v>
      </c>
      <c r="G490" s="3">
        <v>49.5</v>
      </c>
      <c r="H490" s="11"/>
      <c r="I490" s="3">
        <v>72.8</v>
      </c>
      <c r="J490" s="11"/>
      <c r="K490" s="3">
        <v>61.7</v>
      </c>
      <c r="L490" s="11"/>
      <c r="M490" s="12">
        <f>(PMI!$D490+PMI!$E490)/2</f>
        <v>52.5</v>
      </c>
      <c r="N490" s="12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10">
        <v>32417.0</v>
      </c>
      <c r="B491" s="3">
        <v>55.4</v>
      </c>
      <c r="C491" s="3">
        <v>57.2</v>
      </c>
      <c r="D491" s="3">
        <v>58.7</v>
      </c>
      <c r="E491" s="3">
        <v>52.4</v>
      </c>
      <c r="F491" s="3">
        <v>54.8</v>
      </c>
      <c r="G491" s="3">
        <v>49.2</v>
      </c>
      <c r="H491" s="11"/>
      <c r="I491" s="3">
        <v>71.5</v>
      </c>
      <c r="J491" s="11"/>
      <c r="K491" s="3">
        <v>60.8</v>
      </c>
      <c r="L491" s="11"/>
      <c r="M491" s="12">
        <f>(PMI!$D491+PMI!$E491)/2</f>
        <v>55.55</v>
      </c>
      <c r="N491" s="12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10">
        <v>32448.0</v>
      </c>
      <c r="B492" s="3">
        <v>55.6</v>
      </c>
      <c r="C492" s="3">
        <v>58.4</v>
      </c>
      <c r="D492" s="3">
        <v>57.5</v>
      </c>
      <c r="E492" s="3">
        <v>53.8</v>
      </c>
      <c r="F492" s="3">
        <v>52.1</v>
      </c>
      <c r="G492" s="3">
        <v>51.6</v>
      </c>
      <c r="H492" s="11"/>
      <c r="I492" s="3">
        <v>70.9</v>
      </c>
      <c r="J492" s="11"/>
      <c r="K492" s="3">
        <v>58.1</v>
      </c>
      <c r="L492" s="11"/>
      <c r="M492" s="12">
        <f>(PMI!$D492+PMI!$E492)/2</f>
        <v>55.65</v>
      </c>
      <c r="N492" s="12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10">
        <v>32478.0</v>
      </c>
      <c r="B493" s="3">
        <v>56.0</v>
      </c>
      <c r="C493" s="3">
        <v>59.0</v>
      </c>
      <c r="D493" s="3">
        <v>57.6</v>
      </c>
      <c r="E493" s="3">
        <v>54.8</v>
      </c>
      <c r="F493" s="3">
        <v>53.0</v>
      </c>
      <c r="G493" s="3">
        <v>49.9</v>
      </c>
      <c r="H493" s="11"/>
      <c r="I493" s="3">
        <v>69.8</v>
      </c>
      <c r="J493" s="11"/>
      <c r="K493" s="3">
        <v>64.3</v>
      </c>
      <c r="L493" s="11"/>
      <c r="M493" s="12">
        <f>(PMI!$D493+PMI!$E493)/2</f>
        <v>56.2</v>
      </c>
      <c r="N493" s="12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10">
        <v>32509.0</v>
      </c>
      <c r="B494" s="3">
        <v>54.7</v>
      </c>
      <c r="C494" s="3">
        <v>57.3</v>
      </c>
      <c r="D494" s="3">
        <v>57.9</v>
      </c>
      <c r="E494" s="3">
        <v>51.4</v>
      </c>
      <c r="F494" s="3">
        <v>53.9</v>
      </c>
      <c r="G494" s="3">
        <v>46.7</v>
      </c>
      <c r="H494" s="11"/>
      <c r="I494" s="3">
        <v>70.5</v>
      </c>
      <c r="J494" s="11"/>
      <c r="K494" s="3">
        <v>60.1</v>
      </c>
      <c r="L494" s="11"/>
      <c r="M494" s="12">
        <f>(PMI!$D494+PMI!$E494)/2</f>
        <v>54.65</v>
      </c>
      <c r="N494" s="12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10">
        <v>32540.0</v>
      </c>
      <c r="B495" s="3">
        <v>54.1</v>
      </c>
      <c r="C495" s="3">
        <v>57.3</v>
      </c>
      <c r="D495" s="3">
        <v>55.6</v>
      </c>
      <c r="E495" s="3">
        <v>50.0</v>
      </c>
      <c r="F495" s="3">
        <v>54.0</v>
      </c>
      <c r="G495" s="3">
        <v>49.0</v>
      </c>
      <c r="H495" s="11"/>
      <c r="I495" s="3">
        <v>67.9</v>
      </c>
      <c r="J495" s="11"/>
      <c r="K495" s="3">
        <v>60.0</v>
      </c>
      <c r="L495" s="11"/>
      <c r="M495" s="12">
        <f>(PMI!$D495+PMI!$E495)/2</f>
        <v>52.8</v>
      </c>
      <c r="N495" s="12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10">
        <v>32568.0</v>
      </c>
      <c r="B496" s="3">
        <v>51.5</v>
      </c>
      <c r="C496" s="3">
        <v>52.0</v>
      </c>
      <c r="D496" s="3">
        <v>52.7</v>
      </c>
      <c r="E496" s="3">
        <v>50.2</v>
      </c>
      <c r="F496" s="3">
        <v>52.5</v>
      </c>
      <c r="G496" s="3">
        <v>48.3</v>
      </c>
      <c r="H496" s="11"/>
      <c r="I496" s="3">
        <v>67.9</v>
      </c>
      <c r="J496" s="11"/>
      <c r="K496" s="3">
        <v>52.8</v>
      </c>
      <c r="L496" s="11"/>
      <c r="M496" s="12">
        <f>(PMI!$D496+PMI!$E496)/2</f>
        <v>51.45</v>
      </c>
      <c r="N496" s="12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10">
        <v>32599.0</v>
      </c>
      <c r="B497" s="3">
        <v>52.2</v>
      </c>
      <c r="C497" s="3">
        <v>53.1</v>
      </c>
      <c r="D497" s="3">
        <v>54.9</v>
      </c>
      <c r="E497" s="3">
        <v>50.0</v>
      </c>
      <c r="F497" s="3">
        <v>52.2</v>
      </c>
      <c r="G497" s="3">
        <v>47.4</v>
      </c>
      <c r="H497" s="11"/>
      <c r="I497" s="3">
        <v>65.4</v>
      </c>
      <c r="J497" s="11"/>
      <c r="K497" s="3">
        <v>58.4</v>
      </c>
      <c r="L497" s="11"/>
      <c r="M497" s="12">
        <f>(PMI!$D497+PMI!$E497)/2</f>
        <v>52.45</v>
      </c>
      <c r="N497" s="12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10">
        <v>32629.0</v>
      </c>
      <c r="B498" s="3">
        <v>49.3</v>
      </c>
      <c r="C498" s="3">
        <v>50.7</v>
      </c>
      <c r="D498" s="3">
        <v>50.7</v>
      </c>
      <c r="E498" s="3">
        <v>47.6</v>
      </c>
      <c r="F498" s="3">
        <v>49.1</v>
      </c>
      <c r="G498" s="3">
        <v>44.9</v>
      </c>
      <c r="H498" s="11"/>
      <c r="I498" s="3">
        <v>59.3</v>
      </c>
      <c r="J498" s="11"/>
      <c r="K498" s="3">
        <v>60.9</v>
      </c>
      <c r="L498" s="11"/>
      <c r="M498" s="12">
        <f>(PMI!$D498+PMI!$E498)/2</f>
        <v>49.15</v>
      </c>
      <c r="N498" s="12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10">
        <v>32660.0</v>
      </c>
      <c r="B499" s="3">
        <v>47.3</v>
      </c>
      <c r="C499" s="3">
        <v>45.6</v>
      </c>
      <c r="D499" s="3">
        <v>49.5</v>
      </c>
      <c r="E499" s="3">
        <v>47.4</v>
      </c>
      <c r="F499" s="3">
        <v>46.5</v>
      </c>
      <c r="G499" s="3">
        <v>47.5</v>
      </c>
      <c r="H499" s="11"/>
      <c r="I499" s="3">
        <v>50.0</v>
      </c>
      <c r="J499" s="11"/>
      <c r="K499" s="3">
        <v>53.3</v>
      </c>
      <c r="L499" s="11"/>
      <c r="M499" s="12">
        <f>(PMI!$D499+PMI!$E499)/2</f>
        <v>48.45</v>
      </c>
      <c r="N499" s="12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10">
        <v>32690.0</v>
      </c>
      <c r="B500" s="3">
        <v>45.9</v>
      </c>
      <c r="C500" s="3">
        <v>45.8</v>
      </c>
      <c r="D500" s="3">
        <v>46.9</v>
      </c>
      <c r="E500" s="3">
        <v>44.5</v>
      </c>
      <c r="F500" s="3">
        <v>46.1</v>
      </c>
      <c r="G500" s="3">
        <v>46.2</v>
      </c>
      <c r="H500" s="11"/>
      <c r="I500" s="3">
        <v>48.1</v>
      </c>
      <c r="J500" s="11"/>
      <c r="K500" s="3">
        <v>56.1</v>
      </c>
      <c r="L500" s="11"/>
      <c r="M500" s="12">
        <f>(PMI!$D500+PMI!$E500)/2</f>
        <v>45.7</v>
      </c>
      <c r="N500" s="12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10">
        <v>32721.0</v>
      </c>
      <c r="B501" s="3">
        <v>45.1</v>
      </c>
      <c r="C501" s="3">
        <v>45.2</v>
      </c>
      <c r="D501" s="3">
        <v>46.7</v>
      </c>
      <c r="E501" s="3">
        <v>44.6</v>
      </c>
      <c r="F501" s="3">
        <v>44.0</v>
      </c>
      <c r="G501" s="3">
        <v>43.5</v>
      </c>
      <c r="H501" s="11"/>
      <c r="I501" s="3">
        <v>43.3</v>
      </c>
      <c r="J501" s="11"/>
      <c r="K501" s="3">
        <v>57.8</v>
      </c>
      <c r="L501" s="11"/>
      <c r="M501" s="12">
        <f>(PMI!$D501+PMI!$E501)/2</f>
        <v>45.65</v>
      </c>
      <c r="N501" s="12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10">
        <v>32752.0</v>
      </c>
      <c r="B502" s="3">
        <v>46.0</v>
      </c>
      <c r="C502" s="3">
        <v>46.0</v>
      </c>
      <c r="D502" s="3">
        <v>48.0</v>
      </c>
      <c r="E502" s="3">
        <v>45.4</v>
      </c>
      <c r="F502" s="3">
        <v>43.9</v>
      </c>
      <c r="G502" s="3">
        <v>44.8</v>
      </c>
      <c r="H502" s="11"/>
      <c r="I502" s="3">
        <v>42.4</v>
      </c>
      <c r="J502" s="11"/>
      <c r="K502" s="3">
        <v>61.7</v>
      </c>
      <c r="L502" s="11"/>
      <c r="M502" s="12">
        <f>(PMI!$D502+PMI!$E502)/2</f>
        <v>46.7</v>
      </c>
      <c r="N502" s="12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10">
        <v>32782.0</v>
      </c>
      <c r="B503" s="3">
        <v>46.8</v>
      </c>
      <c r="C503" s="3">
        <v>49.3</v>
      </c>
      <c r="D503" s="3">
        <v>48.5</v>
      </c>
      <c r="E503" s="3">
        <v>45.0</v>
      </c>
      <c r="F503" s="3">
        <v>43.3</v>
      </c>
      <c r="G503" s="3">
        <v>43.8</v>
      </c>
      <c r="H503" s="11"/>
      <c r="I503" s="3">
        <v>41.0</v>
      </c>
      <c r="J503" s="11"/>
      <c r="K503" s="3">
        <v>57.2</v>
      </c>
      <c r="L503" s="11"/>
      <c r="M503" s="12">
        <f>(PMI!$D503+PMI!$E503)/2</f>
        <v>46.75</v>
      </c>
      <c r="N503" s="12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10">
        <v>32813.0</v>
      </c>
      <c r="B504" s="3">
        <v>46.8</v>
      </c>
      <c r="C504" s="3">
        <v>49.3</v>
      </c>
      <c r="D504" s="3">
        <v>49.2</v>
      </c>
      <c r="E504" s="3">
        <v>45.9</v>
      </c>
      <c r="F504" s="3">
        <v>42.5</v>
      </c>
      <c r="G504" s="3">
        <v>41.4</v>
      </c>
      <c r="H504" s="11"/>
      <c r="I504" s="3">
        <v>40.9</v>
      </c>
      <c r="J504" s="11"/>
      <c r="K504" s="3">
        <v>56.6</v>
      </c>
      <c r="L504" s="11"/>
      <c r="M504" s="12">
        <f>(PMI!$D504+PMI!$E504)/2</f>
        <v>47.55</v>
      </c>
      <c r="N504" s="12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10">
        <v>32843.0</v>
      </c>
      <c r="B505" s="3">
        <v>47.4</v>
      </c>
      <c r="C505" s="3">
        <v>50.4</v>
      </c>
      <c r="D505" s="3">
        <v>49.7</v>
      </c>
      <c r="E505" s="3">
        <v>44.6</v>
      </c>
      <c r="F505" s="3">
        <v>43.5</v>
      </c>
      <c r="G505" s="3">
        <v>43.9</v>
      </c>
      <c r="H505" s="11"/>
      <c r="I505" s="3">
        <v>41.0</v>
      </c>
      <c r="J505" s="11"/>
      <c r="K505" s="3">
        <v>54.9</v>
      </c>
      <c r="L505" s="3">
        <v>45.5</v>
      </c>
      <c r="M505" s="12">
        <f>(PMI!$D505+PMI!$E505)/2</f>
        <v>47.15</v>
      </c>
      <c r="N505" s="12">
        <f>(PMI!$F505+PMI!$G505+PMI!$I505+PMI!$L505)/4</f>
        <v>43.475</v>
      </c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10">
        <v>32874.0</v>
      </c>
      <c r="B506" s="3">
        <v>47.2</v>
      </c>
      <c r="C506" s="3">
        <v>49.1</v>
      </c>
      <c r="D506" s="3">
        <v>47.4</v>
      </c>
      <c r="E506" s="3">
        <v>45.4</v>
      </c>
      <c r="F506" s="3">
        <v>48.2</v>
      </c>
      <c r="G506" s="3">
        <v>42.7</v>
      </c>
      <c r="H506" s="11"/>
      <c r="I506" s="3">
        <v>50.8</v>
      </c>
      <c r="J506" s="11"/>
      <c r="K506" s="3">
        <v>54.3</v>
      </c>
      <c r="L506" s="3">
        <v>51.8</v>
      </c>
      <c r="M506" s="12">
        <f>(PMI!$D506+PMI!$E506)/2</f>
        <v>46.4</v>
      </c>
      <c r="N506" s="12">
        <f>(PMI!$F506+PMI!$G506+PMI!$I506+PMI!$L506)/4</f>
        <v>48.375</v>
      </c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10">
        <v>32905.0</v>
      </c>
      <c r="B507" s="3">
        <v>49.1</v>
      </c>
      <c r="C507" s="3">
        <v>52.5</v>
      </c>
      <c r="D507" s="3">
        <v>52.8</v>
      </c>
      <c r="E507" s="3">
        <v>46.5</v>
      </c>
      <c r="F507" s="3">
        <v>44.4</v>
      </c>
      <c r="G507" s="3">
        <v>41.4</v>
      </c>
      <c r="H507" s="11"/>
      <c r="I507" s="3">
        <v>44.6</v>
      </c>
      <c r="J507" s="11"/>
      <c r="K507" s="3">
        <v>54.7</v>
      </c>
      <c r="L507" s="3">
        <v>50.3</v>
      </c>
      <c r="M507" s="12">
        <f>(PMI!$D507+PMI!$E507)/2</f>
        <v>49.65</v>
      </c>
      <c r="N507" s="12">
        <f>(PMI!$F507+PMI!$G507+PMI!$I507+PMI!$L507)/4</f>
        <v>45.175</v>
      </c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10">
        <v>32933.0</v>
      </c>
      <c r="B508" s="3">
        <v>49.9</v>
      </c>
      <c r="C508" s="3">
        <v>52.3</v>
      </c>
      <c r="D508" s="3">
        <v>54.7</v>
      </c>
      <c r="E508" s="3">
        <v>46.5</v>
      </c>
      <c r="F508" s="3">
        <v>47.2</v>
      </c>
      <c r="G508" s="3">
        <v>41.2</v>
      </c>
      <c r="H508" s="11"/>
      <c r="I508" s="3">
        <v>50.1</v>
      </c>
      <c r="J508" s="11"/>
      <c r="K508" s="3">
        <v>56.3</v>
      </c>
      <c r="L508" s="3">
        <v>48.7</v>
      </c>
      <c r="M508" s="12">
        <f>(PMI!$D508+PMI!$E508)/2</f>
        <v>50.6</v>
      </c>
      <c r="N508" s="12">
        <f>(PMI!$F508+PMI!$G508+PMI!$I508+PMI!$L508)/4</f>
        <v>46.8</v>
      </c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10">
        <v>32964.0</v>
      </c>
      <c r="B509" s="3">
        <v>50.0</v>
      </c>
      <c r="C509" s="3">
        <v>53.7</v>
      </c>
      <c r="D509" s="3">
        <v>53.5</v>
      </c>
      <c r="E509" s="3">
        <v>46.6</v>
      </c>
      <c r="F509" s="3">
        <v>47.2</v>
      </c>
      <c r="G509" s="3">
        <v>41.3</v>
      </c>
      <c r="H509" s="11"/>
      <c r="I509" s="3">
        <v>50.9</v>
      </c>
      <c r="J509" s="11"/>
      <c r="K509" s="3">
        <v>57.5</v>
      </c>
      <c r="L509" s="3">
        <v>48.0</v>
      </c>
      <c r="M509" s="12">
        <f>(PMI!$D509+PMI!$E509)/2</f>
        <v>50.05</v>
      </c>
      <c r="N509" s="12">
        <f>(PMI!$F509+PMI!$G509+PMI!$I509+PMI!$L509)/4</f>
        <v>46.85</v>
      </c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10">
        <v>32994.0</v>
      </c>
      <c r="B510" s="3">
        <v>49.5</v>
      </c>
      <c r="C510" s="3">
        <v>51.7</v>
      </c>
      <c r="D510" s="3">
        <v>53.9</v>
      </c>
      <c r="E510" s="3">
        <v>46.2</v>
      </c>
      <c r="F510" s="3">
        <v>48.2</v>
      </c>
      <c r="G510" s="3">
        <v>40.0</v>
      </c>
      <c r="H510" s="11"/>
      <c r="I510" s="3">
        <v>50.1</v>
      </c>
      <c r="J510" s="11"/>
      <c r="K510" s="3">
        <v>54.3</v>
      </c>
      <c r="L510" s="3">
        <v>46.5</v>
      </c>
      <c r="M510" s="12">
        <f>(PMI!$D510+PMI!$E510)/2</f>
        <v>50.05</v>
      </c>
      <c r="N510" s="12">
        <f>(PMI!$F510+PMI!$G510+PMI!$I510+PMI!$L510)/4</f>
        <v>46.2</v>
      </c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10">
        <v>33025.0</v>
      </c>
      <c r="B511" s="3">
        <v>49.2</v>
      </c>
      <c r="C511" s="3">
        <v>52.0</v>
      </c>
      <c r="D511" s="3">
        <v>51.3</v>
      </c>
      <c r="E511" s="3">
        <v>45.4</v>
      </c>
      <c r="F511" s="3">
        <v>49.8</v>
      </c>
      <c r="G511" s="3">
        <v>42.6</v>
      </c>
      <c r="H511" s="11"/>
      <c r="I511" s="3">
        <v>53.2</v>
      </c>
      <c r="J511" s="11"/>
      <c r="K511" s="3">
        <v>56.0</v>
      </c>
      <c r="L511" s="3">
        <v>47.6</v>
      </c>
      <c r="M511" s="12">
        <f>(PMI!$D511+PMI!$E511)/2</f>
        <v>48.35</v>
      </c>
      <c r="N511" s="12">
        <f>(PMI!$F511+PMI!$G511+PMI!$I511+PMI!$L511)/4</f>
        <v>48.3</v>
      </c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10">
        <v>33055.0</v>
      </c>
      <c r="B512" s="3">
        <v>46.6</v>
      </c>
      <c r="C512" s="3">
        <v>46.7</v>
      </c>
      <c r="D512" s="3">
        <v>49.8</v>
      </c>
      <c r="E512" s="3">
        <v>46.3</v>
      </c>
      <c r="F512" s="3">
        <v>46.4</v>
      </c>
      <c r="G512" s="3">
        <v>39.6</v>
      </c>
      <c r="H512" s="11"/>
      <c r="I512" s="3">
        <v>51.4</v>
      </c>
      <c r="J512" s="11"/>
      <c r="K512" s="3">
        <v>57.2</v>
      </c>
      <c r="L512" s="3">
        <v>47.5</v>
      </c>
      <c r="M512" s="12">
        <f>(PMI!$D512+PMI!$E512)/2</f>
        <v>48.05</v>
      </c>
      <c r="N512" s="12">
        <f>(PMI!$F512+PMI!$G512+PMI!$I512+PMI!$L512)/4</f>
        <v>46.225</v>
      </c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10">
        <v>33086.0</v>
      </c>
      <c r="B513" s="3">
        <v>46.1</v>
      </c>
      <c r="C513" s="3">
        <v>45.5</v>
      </c>
      <c r="D513" s="3">
        <v>47.9</v>
      </c>
      <c r="E513" s="3">
        <v>43.1</v>
      </c>
      <c r="F513" s="3">
        <v>50.1</v>
      </c>
      <c r="G513" s="3">
        <v>43.0</v>
      </c>
      <c r="H513" s="11"/>
      <c r="I513" s="3">
        <v>53.1</v>
      </c>
      <c r="J513" s="11"/>
      <c r="K513" s="3">
        <v>54.6</v>
      </c>
      <c r="L513" s="3">
        <v>46.9</v>
      </c>
      <c r="M513" s="12">
        <f>(PMI!$D513+PMI!$E513)/2</f>
        <v>45.5</v>
      </c>
      <c r="N513" s="12">
        <f>(PMI!$F513+PMI!$G513+PMI!$I513+PMI!$L513)/4</f>
        <v>48.275</v>
      </c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10">
        <v>33117.0</v>
      </c>
      <c r="B514" s="3">
        <v>44.5</v>
      </c>
      <c r="C514" s="3">
        <v>44.9</v>
      </c>
      <c r="D514" s="3">
        <v>45.5</v>
      </c>
      <c r="E514" s="3">
        <v>41.3</v>
      </c>
      <c r="F514" s="3">
        <v>48.9</v>
      </c>
      <c r="G514" s="3">
        <v>40.8</v>
      </c>
      <c r="H514" s="11"/>
      <c r="I514" s="3">
        <v>70.2</v>
      </c>
      <c r="J514" s="11"/>
      <c r="K514" s="3">
        <v>54.7</v>
      </c>
      <c r="L514" s="3">
        <v>46.0</v>
      </c>
      <c r="M514" s="12">
        <f>(PMI!$D514+PMI!$E514)/2</f>
        <v>43.4</v>
      </c>
      <c r="N514" s="12">
        <f>(PMI!$F514+PMI!$G514+PMI!$I514+PMI!$L514)/4</f>
        <v>51.475</v>
      </c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10">
        <v>33147.0</v>
      </c>
      <c r="B515" s="3">
        <v>43.2</v>
      </c>
      <c r="C515" s="3">
        <v>43.1</v>
      </c>
      <c r="D515" s="3">
        <v>43.6</v>
      </c>
      <c r="E515" s="3">
        <v>40.2</v>
      </c>
      <c r="F515" s="3">
        <v>48.1</v>
      </c>
      <c r="G515" s="3">
        <v>41.2</v>
      </c>
      <c r="H515" s="11"/>
      <c r="I515" s="3">
        <v>73.4</v>
      </c>
      <c r="J515" s="11"/>
      <c r="K515" s="3">
        <v>51.5</v>
      </c>
      <c r="L515" s="3">
        <v>47.4</v>
      </c>
      <c r="M515" s="12">
        <f>(PMI!$D515+PMI!$E515)/2</f>
        <v>41.9</v>
      </c>
      <c r="N515" s="12">
        <f>(PMI!$F515+PMI!$G515+PMI!$I515+PMI!$L515)/4</f>
        <v>52.525</v>
      </c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10">
        <v>33178.0</v>
      </c>
      <c r="B516" s="3">
        <v>41.3</v>
      </c>
      <c r="C516" s="3">
        <v>40.4</v>
      </c>
      <c r="D516" s="3">
        <v>42.1</v>
      </c>
      <c r="E516" s="3">
        <v>36.2</v>
      </c>
      <c r="F516" s="3">
        <v>48.6</v>
      </c>
      <c r="G516" s="3">
        <v>40.9</v>
      </c>
      <c r="H516" s="11"/>
      <c r="I516" s="3">
        <v>64.2</v>
      </c>
      <c r="J516" s="11"/>
      <c r="K516" s="3">
        <v>55.5</v>
      </c>
      <c r="L516" s="3">
        <v>43.1</v>
      </c>
      <c r="M516" s="12">
        <f>(PMI!$D516+PMI!$E516)/2</f>
        <v>39.15</v>
      </c>
      <c r="N516" s="12">
        <f>(PMI!$F516+PMI!$G516+PMI!$I516+PMI!$L516)/4</f>
        <v>49.2</v>
      </c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10">
        <v>33208.0</v>
      </c>
      <c r="B517" s="3">
        <v>40.8</v>
      </c>
      <c r="C517" s="3">
        <v>38.5</v>
      </c>
      <c r="D517" s="3">
        <v>41.8</v>
      </c>
      <c r="E517" s="3">
        <v>38.8</v>
      </c>
      <c r="F517" s="3">
        <v>47.2</v>
      </c>
      <c r="G517" s="3">
        <v>39.6</v>
      </c>
      <c r="H517" s="11"/>
      <c r="I517" s="3">
        <v>58.9</v>
      </c>
      <c r="J517" s="11"/>
      <c r="K517" s="3">
        <v>56.5</v>
      </c>
      <c r="L517" s="3">
        <v>46.5</v>
      </c>
      <c r="M517" s="12">
        <f>(PMI!$D517+PMI!$E517)/2</f>
        <v>40.3</v>
      </c>
      <c r="N517" s="12">
        <f>(PMI!$F517+PMI!$G517+PMI!$I517+PMI!$L517)/4</f>
        <v>48.05</v>
      </c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10">
        <v>33239.0</v>
      </c>
      <c r="B518" s="3">
        <v>39.2</v>
      </c>
      <c r="C518" s="3">
        <v>38.1</v>
      </c>
      <c r="D518" s="3">
        <v>38.9</v>
      </c>
      <c r="E518" s="3">
        <v>37.3</v>
      </c>
      <c r="F518" s="3">
        <v>44.4</v>
      </c>
      <c r="G518" s="3">
        <v>39.6</v>
      </c>
      <c r="H518" s="11"/>
      <c r="I518" s="3">
        <v>51.6</v>
      </c>
      <c r="J518" s="11"/>
      <c r="K518" s="3">
        <v>55.9</v>
      </c>
      <c r="L518" s="3">
        <v>44.6</v>
      </c>
      <c r="M518" s="12">
        <f>(PMI!$D518+PMI!$E518)/2</f>
        <v>38.1</v>
      </c>
      <c r="N518" s="12">
        <f>(PMI!$F518+PMI!$G518+PMI!$I518+PMI!$L518)/4</f>
        <v>45.05</v>
      </c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10">
        <v>33270.0</v>
      </c>
      <c r="B519" s="3">
        <v>39.4</v>
      </c>
      <c r="C519" s="3">
        <v>39.2</v>
      </c>
      <c r="D519" s="3">
        <v>39.1</v>
      </c>
      <c r="E519" s="3">
        <v>35.6</v>
      </c>
      <c r="F519" s="3">
        <v>44.7</v>
      </c>
      <c r="G519" s="3">
        <v>39.9</v>
      </c>
      <c r="H519" s="11"/>
      <c r="I519" s="3">
        <v>44.5</v>
      </c>
      <c r="J519" s="11"/>
      <c r="K519" s="3">
        <v>53.3</v>
      </c>
      <c r="L519" s="3">
        <v>45.8</v>
      </c>
      <c r="M519" s="12">
        <f>(PMI!$D519+PMI!$E519)/2</f>
        <v>37.35</v>
      </c>
      <c r="N519" s="12">
        <f>(PMI!$F519+PMI!$G519+PMI!$I519+PMI!$L519)/4</f>
        <v>43.725</v>
      </c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10">
        <v>33298.0</v>
      </c>
      <c r="B520" s="3">
        <v>40.7</v>
      </c>
      <c r="C520" s="3">
        <v>42.4</v>
      </c>
      <c r="D520" s="3">
        <v>41.2</v>
      </c>
      <c r="E520" s="3">
        <v>33.6</v>
      </c>
      <c r="F520" s="3">
        <v>43.9</v>
      </c>
      <c r="G520" s="3">
        <v>43.6</v>
      </c>
      <c r="H520" s="11"/>
      <c r="I520" s="3">
        <v>41.2</v>
      </c>
      <c r="J520" s="11"/>
      <c r="K520" s="3">
        <v>55.9</v>
      </c>
      <c r="L520" s="3">
        <v>45.8</v>
      </c>
      <c r="M520" s="12">
        <f>(PMI!$D520+PMI!$E520)/2</f>
        <v>37.4</v>
      </c>
      <c r="N520" s="12">
        <f>(PMI!$F520+PMI!$G520+PMI!$I520+PMI!$L520)/4</f>
        <v>43.625</v>
      </c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10">
        <v>33329.0</v>
      </c>
      <c r="B521" s="3">
        <v>42.8</v>
      </c>
      <c r="C521" s="3">
        <v>46.1</v>
      </c>
      <c r="D521" s="3">
        <v>44.5</v>
      </c>
      <c r="E521" s="3">
        <v>35.8</v>
      </c>
      <c r="F521" s="3">
        <v>45.0</v>
      </c>
      <c r="G521" s="3">
        <v>39.6</v>
      </c>
      <c r="H521" s="11"/>
      <c r="I521" s="3">
        <v>38.8</v>
      </c>
      <c r="J521" s="11"/>
      <c r="K521" s="3">
        <v>53.9</v>
      </c>
      <c r="L521" s="3">
        <v>45.2</v>
      </c>
      <c r="M521" s="12">
        <f>(PMI!$D521+PMI!$E521)/2</f>
        <v>40.15</v>
      </c>
      <c r="N521" s="12">
        <f>(PMI!$F521+PMI!$G521+PMI!$I521+PMI!$L521)/4</f>
        <v>42.15</v>
      </c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10">
        <v>33359.0</v>
      </c>
      <c r="B522" s="3">
        <v>44.5</v>
      </c>
      <c r="C522" s="3">
        <v>48.9</v>
      </c>
      <c r="D522" s="3">
        <v>46.9</v>
      </c>
      <c r="E522" s="3">
        <v>37.4</v>
      </c>
      <c r="F522" s="3">
        <v>46.0</v>
      </c>
      <c r="G522" s="3">
        <v>37.3</v>
      </c>
      <c r="H522" s="11"/>
      <c r="I522" s="3">
        <v>38.2</v>
      </c>
      <c r="J522" s="11"/>
      <c r="K522" s="3">
        <v>53.2</v>
      </c>
      <c r="L522" s="3">
        <v>47.0</v>
      </c>
      <c r="M522" s="12">
        <f>(PMI!$D522+PMI!$E522)/2</f>
        <v>42.15</v>
      </c>
      <c r="N522" s="12">
        <f>(PMI!$F522+PMI!$G522+PMI!$I522+PMI!$L522)/4</f>
        <v>42.125</v>
      </c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10">
        <v>33390.0</v>
      </c>
      <c r="B523" s="3">
        <v>50.3</v>
      </c>
      <c r="C523" s="3">
        <v>58.4</v>
      </c>
      <c r="D523" s="3">
        <v>53.7</v>
      </c>
      <c r="E523" s="3">
        <v>43.0</v>
      </c>
      <c r="F523" s="3">
        <v>47.1</v>
      </c>
      <c r="G523" s="3">
        <v>37.1</v>
      </c>
      <c r="H523" s="11"/>
      <c r="I523" s="3">
        <v>39.6</v>
      </c>
      <c r="J523" s="11"/>
      <c r="K523" s="3">
        <v>54.8</v>
      </c>
      <c r="L523" s="3">
        <v>47.0</v>
      </c>
      <c r="M523" s="12">
        <f>(PMI!$D523+PMI!$E523)/2</f>
        <v>48.35</v>
      </c>
      <c r="N523" s="12">
        <f>(PMI!$F523+PMI!$G523+PMI!$I523+PMI!$L523)/4</f>
        <v>42.7</v>
      </c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10">
        <v>33420.0</v>
      </c>
      <c r="B524" s="3">
        <v>50.6</v>
      </c>
      <c r="C524" s="3">
        <v>55.6</v>
      </c>
      <c r="D524" s="3">
        <v>57.2</v>
      </c>
      <c r="E524" s="3">
        <v>41.3</v>
      </c>
      <c r="F524" s="3">
        <v>49.6</v>
      </c>
      <c r="G524" s="3">
        <v>39.1</v>
      </c>
      <c r="H524" s="11"/>
      <c r="I524" s="3">
        <v>38.4</v>
      </c>
      <c r="J524" s="11"/>
      <c r="K524" s="3">
        <v>52.8</v>
      </c>
      <c r="L524" s="3">
        <v>47.6</v>
      </c>
      <c r="M524" s="12">
        <f>(PMI!$D524+PMI!$E524)/2</f>
        <v>49.25</v>
      </c>
      <c r="N524" s="12">
        <f>(PMI!$F524+PMI!$G524+PMI!$I524+PMI!$L524)/4</f>
        <v>43.675</v>
      </c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10">
        <v>33451.0</v>
      </c>
      <c r="B525" s="3">
        <v>52.9</v>
      </c>
      <c r="C525" s="3">
        <v>60.1</v>
      </c>
      <c r="D525" s="3">
        <v>59.8</v>
      </c>
      <c r="E525" s="3">
        <v>44.0</v>
      </c>
      <c r="F525" s="3">
        <v>48.3</v>
      </c>
      <c r="G525" s="3">
        <v>39.0</v>
      </c>
      <c r="H525" s="11"/>
      <c r="I525" s="3">
        <v>41.8</v>
      </c>
      <c r="J525" s="11"/>
      <c r="K525" s="3">
        <v>56.5</v>
      </c>
      <c r="L525" s="3">
        <v>49.5</v>
      </c>
      <c r="M525" s="12">
        <f>(PMI!$D525+PMI!$E525)/2</f>
        <v>51.9</v>
      </c>
      <c r="N525" s="12">
        <f>(PMI!$F525+PMI!$G525+PMI!$I525+PMI!$L525)/4</f>
        <v>44.65</v>
      </c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10">
        <v>33482.0</v>
      </c>
      <c r="B526" s="3">
        <v>54.9</v>
      </c>
      <c r="C526" s="3">
        <v>60.7</v>
      </c>
      <c r="D526" s="3">
        <v>61.2</v>
      </c>
      <c r="E526" s="3">
        <v>47.3</v>
      </c>
      <c r="F526" s="3">
        <v>48.8</v>
      </c>
      <c r="G526" s="3">
        <v>45.9</v>
      </c>
      <c r="H526" s="11"/>
      <c r="I526" s="3">
        <v>45.5</v>
      </c>
      <c r="J526" s="11"/>
      <c r="K526" s="3">
        <v>53.8</v>
      </c>
      <c r="L526" s="3">
        <v>49.5</v>
      </c>
      <c r="M526" s="12">
        <f>(PMI!$D526+PMI!$E526)/2</f>
        <v>54.25</v>
      </c>
      <c r="N526" s="12">
        <f>(PMI!$F526+PMI!$G526+PMI!$I526+PMI!$L526)/4</f>
        <v>47.425</v>
      </c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10">
        <v>33512.0</v>
      </c>
      <c r="B527" s="3">
        <v>53.1</v>
      </c>
      <c r="C527" s="3">
        <v>58.0</v>
      </c>
      <c r="D527" s="3">
        <v>60.7</v>
      </c>
      <c r="E527" s="3">
        <v>44.7</v>
      </c>
      <c r="F527" s="3">
        <v>50.2</v>
      </c>
      <c r="G527" s="3">
        <v>40.5</v>
      </c>
      <c r="H527" s="11"/>
      <c r="I527" s="3">
        <v>50.0</v>
      </c>
      <c r="J527" s="11"/>
      <c r="K527" s="3">
        <v>55.7</v>
      </c>
      <c r="L527" s="3">
        <v>48.4</v>
      </c>
      <c r="M527" s="12">
        <f>(PMI!$D527+PMI!$E527)/2</f>
        <v>52.7</v>
      </c>
      <c r="N527" s="12">
        <f>(PMI!$F527+PMI!$G527+PMI!$I527+PMI!$L527)/4</f>
        <v>47.275</v>
      </c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10">
        <v>33543.0</v>
      </c>
      <c r="B528" s="3">
        <v>49.5</v>
      </c>
      <c r="C528" s="3">
        <v>53.5</v>
      </c>
      <c r="D528" s="3">
        <v>52.1</v>
      </c>
      <c r="E528" s="3">
        <v>43.0</v>
      </c>
      <c r="F528" s="3">
        <v>50.1</v>
      </c>
      <c r="G528" s="3">
        <v>42.8</v>
      </c>
      <c r="H528" s="11"/>
      <c r="I528" s="3">
        <v>47.6</v>
      </c>
      <c r="J528" s="11"/>
      <c r="K528" s="3">
        <v>55.2</v>
      </c>
      <c r="L528" s="3">
        <v>46.1</v>
      </c>
      <c r="M528" s="12">
        <f>(PMI!$D528+PMI!$E528)/2</f>
        <v>47.55</v>
      </c>
      <c r="N528" s="12">
        <f>(PMI!$F528+PMI!$G528+PMI!$I528+PMI!$L528)/4</f>
        <v>46.65</v>
      </c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10">
        <v>33573.0</v>
      </c>
      <c r="B529" s="3">
        <v>46.8</v>
      </c>
      <c r="C529" s="3">
        <v>49.5</v>
      </c>
      <c r="D529" s="3">
        <v>50.6</v>
      </c>
      <c r="E529" s="3">
        <v>39.8</v>
      </c>
      <c r="F529" s="3">
        <v>49.4</v>
      </c>
      <c r="G529" s="3">
        <v>38.8</v>
      </c>
      <c r="H529" s="11"/>
      <c r="I529" s="3">
        <v>48.9</v>
      </c>
      <c r="J529" s="11"/>
      <c r="K529" s="3">
        <v>53.6</v>
      </c>
      <c r="L529" s="3">
        <v>47.6</v>
      </c>
      <c r="M529" s="12">
        <f>(PMI!$D529+PMI!$E529)/2</f>
        <v>45.2</v>
      </c>
      <c r="N529" s="12">
        <f>(PMI!$F529+PMI!$G529+PMI!$I529+PMI!$L529)/4</f>
        <v>46.175</v>
      </c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10">
        <v>33604.0</v>
      </c>
      <c r="B530" s="3">
        <v>47.3</v>
      </c>
      <c r="C530" s="3">
        <v>49.6</v>
      </c>
      <c r="D530" s="3">
        <v>50.4</v>
      </c>
      <c r="E530" s="3">
        <v>40.6</v>
      </c>
      <c r="F530" s="3">
        <v>48.7</v>
      </c>
      <c r="G530" s="3">
        <v>44.1</v>
      </c>
      <c r="H530" s="11"/>
      <c r="I530" s="3">
        <v>45.4</v>
      </c>
      <c r="J530" s="11"/>
      <c r="K530" s="3">
        <v>51.9</v>
      </c>
      <c r="L530" s="3">
        <v>47.0</v>
      </c>
      <c r="M530" s="12">
        <f>(PMI!$D530+PMI!$E530)/2</f>
        <v>45.5</v>
      </c>
      <c r="N530" s="12">
        <f>(PMI!$F530+PMI!$G530+PMI!$I530+PMI!$L530)/4</f>
        <v>46.3</v>
      </c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10">
        <v>33635.0</v>
      </c>
      <c r="B531" s="3">
        <v>52.7</v>
      </c>
      <c r="C531" s="3">
        <v>58.3</v>
      </c>
      <c r="D531" s="3">
        <v>58.7</v>
      </c>
      <c r="E531" s="3">
        <v>43.9</v>
      </c>
      <c r="F531" s="3">
        <v>49.3</v>
      </c>
      <c r="G531" s="3">
        <v>44.0</v>
      </c>
      <c r="H531" s="11"/>
      <c r="I531" s="3">
        <v>45.9</v>
      </c>
      <c r="J531" s="11"/>
      <c r="K531" s="3">
        <v>54.7</v>
      </c>
      <c r="L531" s="3">
        <v>47.2</v>
      </c>
      <c r="M531" s="12">
        <f>(PMI!$D531+PMI!$E531)/2</f>
        <v>51.3</v>
      </c>
      <c r="N531" s="12">
        <f>(PMI!$F531+PMI!$G531+PMI!$I531+PMI!$L531)/4</f>
        <v>46.6</v>
      </c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10">
        <v>33664.0</v>
      </c>
      <c r="B532" s="3">
        <v>54.6</v>
      </c>
      <c r="C532" s="3">
        <v>63.3</v>
      </c>
      <c r="D532" s="3">
        <v>59.7</v>
      </c>
      <c r="E532" s="3">
        <v>43.7</v>
      </c>
      <c r="F532" s="3">
        <v>50.3</v>
      </c>
      <c r="G532" s="3">
        <v>44.3</v>
      </c>
      <c r="H532" s="11"/>
      <c r="I532" s="3">
        <v>48.1</v>
      </c>
      <c r="J532" s="11"/>
      <c r="K532" s="3">
        <v>54.7</v>
      </c>
      <c r="L532" s="3">
        <v>49.8</v>
      </c>
      <c r="M532" s="12">
        <f>(PMI!$D532+PMI!$E532)/2</f>
        <v>51.7</v>
      </c>
      <c r="N532" s="12">
        <f>(PMI!$F532+PMI!$G532+PMI!$I532+PMI!$L532)/4</f>
        <v>48.125</v>
      </c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10">
        <v>33695.0</v>
      </c>
      <c r="B533" s="3">
        <v>52.6</v>
      </c>
      <c r="C533" s="3">
        <v>59.1</v>
      </c>
      <c r="D533" s="3">
        <v>57.8</v>
      </c>
      <c r="E533" s="3">
        <v>45.0</v>
      </c>
      <c r="F533" s="3">
        <v>47.4</v>
      </c>
      <c r="G533" s="3">
        <v>43.2</v>
      </c>
      <c r="H533" s="11"/>
      <c r="I533" s="3">
        <v>51.1</v>
      </c>
      <c r="J533" s="11"/>
      <c r="K533" s="3">
        <v>53.4</v>
      </c>
      <c r="L533" s="3">
        <v>52.1</v>
      </c>
      <c r="M533" s="12">
        <f>(PMI!$D533+PMI!$E533)/2</f>
        <v>51.4</v>
      </c>
      <c r="N533" s="12">
        <f>(PMI!$F533+PMI!$G533+PMI!$I533+PMI!$L533)/4</f>
        <v>48.45</v>
      </c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10">
        <v>33725.0</v>
      </c>
      <c r="B534" s="3">
        <v>55.7</v>
      </c>
      <c r="C534" s="3">
        <v>60.9</v>
      </c>
      <c r="D534" s="3">
        <v>61.2</v>
      </c>
      <c r="E534" s="3">
        <v>49.5</v>
      </c>
      <c r="F534" s="3">
        <v>50.0</v>
      </c>
      <c r="G534" s="3">
        <v>47.0</v>
      </c>
      <c r="H534" s="11"/>
      <c r="I534" s="3">
        <v>55.0</v>
      </c>
      <c r="J534" s="11"/>
      <c r="K534" s="3">
        <v>56.2</v>
      </c>
      <c r="L534" s="3">
        <v>53.9</v>
      </c>
      <c r="M534" s="12">
        <f>(PMI!$D534+PMI!$E534)/2</f>
        <v>55.35</v>
      </c>
      <c r="N534" s="12">
        <f>(PMI!$F534+PMI!$G534+PMI!$I534+PMI!$L534)/4</f>
        <v>51.475</v>
      </c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10">
        <v>33756.0</v>
      </c>
      <c r="B535" s="3">
        <v>53.6</v>
      </c>
      <c r="C535" s="3">
        <v>59.8</v>
      </c>
      <c r="D535" s="3">
        <v>57.6</v>
      </c>
      <c r="E535" s="3">
        <v>46.6</v>
      </c>
      <c r="F535" s="3">
        <v>50.8</v>
      </c>
      <c r="G535" s="3">
        <v>43.1</v>
      </c>
      <c r="H535" s="11"/>
      <c r="I535" s="3">
        <v>53.9</v>
      </c>
      <c r="J535" s="11"/>
      <c r="K535" s="3">
        <v>53.1</v>
      </c>
      <c r="L535" s="3">
        <v>49.1</v>
      </c>
      <c r="M535" s="12">
        <f>(PMI!$D535+PMI!$E535)/2</f>
        <v>52.1</v>
      </c>
      <c r="N535" s="12">
        <f>(PMI!$F535+PMI!$G535+PMI!$I535+PMI!$L535)/4</f>
        <v>49.225</v>
      </c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10">
        <v>33786.0</v>
      </c>
      <c r="B536" s="3">
        <v>53.9</v>
      </c>
      <c r="C536" s="3">
        <v>59.5</v>
      </c>
      <c r="D536" s="3">
        <v>57.4</v>
      </c>
      <c r="E536" s="3">
        <v>45.5</v>
      </c>
      <c r="F536" s="3">
        <v>52.5</v>
      </c>
      <c r="G536" s="3">
        <v>46.9</v>
      </c>
      <c r="H536" s="11"/>
      <c r="I536" s="3">
        <v>56.2</v>
      </c>
      <c r="J536" s="11"/>
      <c r="K536" s="3">
        <v>55.2</v>
      </c>
      <c r="L536" s="3">
        <v>49.7</v>
      </c>
      <c r="M536" s="12">
        <f>(PMI!$D536+PMI!$E536)/2</f>
        <v>51.45</v>
      </c>
      <c r="N536" s="12">
        <f>(PMI!$F536+PMI!$G536+PMI!$I536+PMI!$L536)/4</f>
        <v>51.325</v>
      </c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10">
        <v>33817.0</v>
      </c>
      <c r="B537" s="3">
        <v>53.4</v>
      </c>
      <c r="C537" s="3">
        <v>58.8</v>
      </c>
      <c r="D537" s="3">
        <v>56.8</v>
      </c>
      <c r="E537" s="3">
        <v>47.3</v>
      </c>
      <c r="F537" s="3">
        <v>50.3</v>
      </c>
      <c r="G537" s="3">
        <v>45.8</v>
      </c>
      <c r="H537" s="11"/>
      <c r="I537" s="3">
        <v>53.7</v>
      </c>
      <c r="J537" s="11"/>
      <c r="K537" s="3">
        <v>53.3</v>
      </c>
      <c r="L537" s="3">
        <v>48.6</v>
      </c>
      <c r="M537" s="12">
        <f>(PMI!$D537+PMI!$E537)/2</f>
        <v>52.05</v>
      </c>
      <c r="N537" s="12">
        <f>(PMI!$F537+PMI!$G537+PMI!$I537+PMI!$L537)/4</f>
        <v>49.6</v>
      </c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10">
        <v>33848.0</v>
      </c>
      <c r="B538" s="3">
        <v>49.7</v>
      </c>
      <c r="C538" s="3">
        <v>51.1</v>
      </c>
      <c r="D538" s="3">
        <v>53.9</v>
      </c>
      <c r="E538" s="3">
        <v>45.1</v>
      </c>
      <c r="F538" s="3">
        <v>51.2</v>
      </c>
      <c r="G538" s="3">
        <v>42.3</v>
      </c>
      <c r="H538" s="11"/>
      <c r="I538" s="3">
        <v>51.6</v>
      </c>
      <c r="J538" s="11"/>
      <c r="K538" s="3">
        <v>55.8</v>
      </c>
      <c r="L538" s="3">
        <v>46.7</v>
      </c>
      <c r="M538" s="12">
        <f>(PMI!$D538+PMI!$E538)/2</f>
        <v>49.5</v>
      </c>
      <c r="N538" s="12">
        <f>(PMI!$F538+PMI!$G538+PMI!$I538+PMI!$L538)/4</f>
        <v>47.95</v>
      </c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10">
        <v>33878.0</v>
      </c>
      <c r="B539" s="3">
        <v>50.3</v>
      </c>
      <c r="C539" s="3">
        <v>53.8</v>
      </c>
      <c r="D539" s="3">
        <v>54.7</v>
      </c>
      <c r="E539" s="3">
        <v>44.7</v>
      </c>
      <c r="F539" s="3">
        <v>48.6</v>
      </c>
      <c r="G539" s="3">
        <v>42.4</v>
      </c>
      <c r="H539" s="11"/>
      <c r="I539" s="3">
        <v>46.4</v>
      </c>
      <c r="J539" s="11"/>
      <c r="K539" s="3">
        <v>53.8</v>
      </c>
      <c r="L539" s="3">
        <v>47.7</v>
      </c>
      <c r="M539" s="12">
        <f>(PMI!$D539+PMI!$E539)/2</f>
        <v>49.7</v>
      </c>
      <c r="N539" s="12">
        <f>(PMI!$F539+PMI!$G539+PMI!$I539+PMI!$L539)/4</f>
        <v>46.275</v>
      </c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10">
        <v>33909.0</v>
      </c>
      <c r="B540" s="3">
        <v>53.6</v>
      </c>
      <c r="C540" s="3">
        <v>58.8</v>
      </c>
      <c r="D540" s="3">
        <v>58.6</v>
      </c>
      <c r="E540" s="3">
        <v>47.1</v>
      </c>
      <c r="F540" s="3">
        <v>51.3</v>
      </c>
      <c r="G540" s="3">
        <v>42.1</v>
      </c>
      <c r="H540" s="11"/>
      <c r="I540" s="3">
        <v>42.1</v>
      </c>
      <c r="J540" s="11"/>
      <c r="K540" s="3">
        <v>52.9</v>
      </c>
      <c r="L540" s="3">
        <v>48.0</v>
      </c>
      <c r="M540" s="12">
        <f>(PMI!$D540+PMI!$E540)/2</f>
        <v>52.85</v>
      </c>
      <c r="N540" s="12">
        <f>(PMI!$F540+PMI!$G540+PMI!$I540+PMI!$L540)/4</f>
        <v>45.875</v>
      </c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10">
        <v>33939.0</v>
      </c>
      <c r="B541" s="3">
        <v>54.2</v>
      </c>
      <c r="C541" s="3">
        <v>61.0</v>
      </c>
      <c r="D541" s="3">
        <v>57.9</v>
      </c>
      <c r="E541" s="3">
        <v>45.9</v>
      </c>
      <c r="F541" s="3">
        <v>51.5</v>
      </c>
      <c r="G541" s="3">
        <v>45.0</v>
      </c>
      <c r="H541" s="11"/>
      <c r="I541" s="3">
        <v>48.0</v>
      </c>
      <c r="J541" s="11"/>
      <c r="K541" s="3">
        <v>53.1</v>
      </c>
      <c r="L541" s="3">
        <v>51.4</v>
      </c>
      <c r="M541" s="12">
        <f>(PMI!$D541+PMI!$E541)/2</f>
        <v>51.9</v>
      </c>
      <c r="N541" s="12">
        <f>(PMI!$F541+PMI!$G541+PMI!$I541+PMI!$L541)/4</f>
        <v>48.975</v>
      </c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10">
        <v>33970.0</v>
      </c>
      <c r="B542" s="3">
        <v>55.8</v>
      </c>
      <c r="C542" s="3">
        <v>63.0</v>
      </c>
      <c r="D542" s="3">
        <v>61.5</v>
      </c>
      <c r="E542" s="3">
        <v>46.9</v>
      </c>
      <c r="F542" s="3">
        <v>52.3</v>
      </c>
      <c r="G542" s="3">
        <v>43.3</v>
      </c>
      <c r="H542" s="11"/>
      <c r="I542" s="3">
        <v>49.8</v>
      </c>
      <c r="J542" s="11"/>
      <c r="K542" s="3">
        <v>53.4</v>
      </c>
      <c r="L542" s="3">
        <v>49.4</v>
      </c>
      <c r="M542" s="12">
        <f>(PMI!$D542+PMI!$E542)/2</f>
        <v>54.2</v>
      </c>
      <c r="N542" s="12">
        <f>(PMI!$F542+PMI!$G542+PMI!$I542+PMI!$L542)/4</f>
        <v>48.7</v>
      </c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10">
        <v>34001.0</v>
      </c>
      <c r="B543" s="3">
        <v>55.2</v>
      </c>
      <c r="C543" s="3">
        <v>59.7</v>
      </c>
      <c r="D543" s="3">
        <v>63.5</v>
      </c>
      <c r="E543" s="3">
        <v>47.0</v>
      </c>
      <c r="F543" s="3">
        <v>51.7</v>
      </c>
      <c r="G543" s="3">
        <v>42.6</v>
      </c>
      <c r="H543" s="11"/>
      <c r="I543" s="3">
        <v>53.9</v>
      </c>
      <c r="J543" s="11"/>
      <c r="K543" s="3">
        <v>53.2</v>
      </c>
      <c r="L543" s="3">
        <v>49.5</v>
      </c>
      <c r="M543" s="12">
        <f>(PMI!$D543+PMI!$E543)/2</f>
        <v>55.25</v>
      </c>
      <c r="N543" s="12">
        <f>(PMI!$F543+PMI!$G543+PMI!$I543+PMI!$L543)/4</f>
        <v>49.425</v>
      </c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10">
        <v>34029.0</v>
      </c>
      <c r="B544" s="3">
        <v>53.5</v>
      </c>
      <c r="C544" s="3">
        <v>58.1</v>
      </c>
      <c r="D544" s="3">
        <v>56.7</v>
      </c>
      <c r="E544" s="3">
        <v>47.1</v>
      </c>
      <c r="F544" s="3">
        <v>52.7</v>
      </c>
      <c r="G544" s="3">
        <v>45.6</v>
      </c>
      <c r="H544" s="11"/>
      <c r="I544" s="3">
        <v>53.6</v>
      </c>
      <c r="J544" s="3">
        <v>54.5</v>
      </c>
      <c r="K544" s="3">
        <v>52.3</v>
      </c>
      <c r="L544" s="3">
        <v>49.4</v>
      </c>
      <c r="M544" s="12">
        <f>(PMI!$D544+PMI!$E544)/2</f>
        <v>51.9</v>
      </c>
      <c r="N544" s="12">
        <f>(PMI!$F544+PMI!$G544+PMI!$I544+PMI!$L544)/4</f>
        <v>50.325</v>
      </c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10">
        <v>34060.0</v>
      </c>
      <c r="B545" s="3">
        <v>50.2</v>
      </c>
      <c r="C545" s="3">
        <v>53.0</v>
      </c>
      <c r="D545" s="3">
        <v>51.6</v>
      </c>
      <c r="E545" s="3">
        <v>44.8</v>
      </c>
      <c r="F545" s="3">
        <v>52.8</v>
      </c>
      <c r="G545" s="3">
        <v>44.7</v>
      </c>
      <c r="H545" s="11"/>
      <c r="I545" s="3">
        <v>54.6</v>
      </c>
      <c r="J545" s="3">
        <v>51.0</v>
      </c>
      <c r="K545" s="3">
        <v>53.5</v>
      </c>
      <c r="L545" s="3">
        <v>50.1</v>
      </c>
      <c r="M545" s="12">
        <f>(PMI!$D545+PMI!$E545)/2</f>
        <v>48.2</v>
      </c>
      <c r="N545" s="12">
        <f>(PMI!$F545+PMI!$G545+PMI!$I545+PMI!$L545)/4</f>
        <v>50.55</v>
      </c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10">
        <v>34090.0</v>
      </c>
      <c r="B546" s="3">
        <v>51.2</v>
      </c>
      <c r="C546" s="3">
        <v>55.2</v>
      </c>
      <c r="D546" s="3">
        <v>55.0</v>
      </c>
      <c r="E546" s="3">
        <v>43.6</v>
      </c>
      <c r="F546" s="3">
        <v>51.5</v>
      </c>
      <c r="G546" s="3">
        <v>44.8</v>
      </c>
      <c r="H546" s="11"/>
      <c r="I546" s="3">
        <v>50.4</v>
      </c>
      <c r="J546" s="3">
        <v>51.5</v>
      </c>
      <c r="K546" s="3">
        <v>54.2</v>
      </c>
      <c r="L546" s="3">
        <v>47.4</v>
      </c>
      <c r="M546" s="12">
        <f>(PMI!$D546+PMI!$E546)/2</f>
        <v>49.3</v>
      </c>
      <c r="N546" s="12">
        <f>(PMI!$F546+PMI!$G546+PMI!$I546+PMI!$L546)/4</f>
        <v>48.525</v>
      </c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10">
        <v>34121.0</v>
      </c>
      <c r="B547" s="3">
        <v>49.6</v>
      </c>
      <c r="C547" s="3">
        <v>51.6</v>
      </c>
      <c r="D547" s="3">
        <v>53.1</v>
      </c>
      <c r="E547" s="3">
        <v>43.2</v>
      </c>
      <c r="F547" s="3">
        <v>50.4</v>
      </c>
      <c r="G547" s="3">
        <v>46.5</v>
      </c>
      <c r="H547" s="11"/>
      <c r="I547" s="3">
        <v>50.6</v>
      </c>
      <c r="J547" s="3">
        <v>52.0</v>
      </c>
      <c r="K547" s="3">
        <v>52.4</v>
      </c>
      <c r="L547" s="3">
        <v>49.8</v>
      </c>
      <c r="M547" s="12">
        <f>(PMI!$D547+PMI!$E547)/2</f>
        <v>48.15</v>
      </c>
      <c r="N547" s="12">
        <f>(PMI!$F547+PMI!$G547+PMI!$I547+PMI!$L547)/4</f>
        <v>49.325</v>
      </c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10">
        <v>34151.0</v>
      </c>
      <c r="B548" s="3">
        <v>50.2</v>
      </c>
      <c r="C548" s="3">
        <v>53.8</v>
      </c>
      <c r="D548" s="3">
        <v>52.7</v>
      </c>
      <c r="E548" s="3">
        <v>43.6</v>
      </c>
      <c r="F548" s="3">
        <v>51.0</v>
      </c>
      <c r="G548" s="3">
        <v>45.5</v>
      </c>
      <c r="H548" s="11"/>
      <c r="I548" s="3">
        <v>51.4</v>
      </c>
      <c r="J548" s="3">
        <v>45.0</v>
      </c>
      <c r="K548" s="3">
        <v>50.1</v>
      </c>
      <c r="L548" s="3">
        <v>48.7</v>
      </c>
      <c r="M548" s="12">
        <f>(PMI!$D548+PMI!$E548)/2</f>
        <v>48.15</v>
      </c>
      <c r="N548" s="12">
        <f>(PMI!$F548+PMI!$G548+PMI!$I548+PMI!$L548)/4</f>
        <v>49.15</v>
      </c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10">
        <v>34182.0</v>
      </c>
      <c r="B549" s="3">
        <v>50.7</v>
      </c>
      <c r="C549" s="3">
        <v>55.3</v>
      </c>
      <c r="D549" s="3">
        <v>53.9</v>
      </c>
      <c r="E549" s="3">
        <v>41.9</v>
      </c>
      <c r="F549" s="3">
        <v>51.8</v>
      </c>
      <c r="G549" s="3">
        <v>44.4</v>
      </c>
      <c r="H549" s="11"/>
      <c r="I549" s="3">
        <v>52.3</v>
      </c>
      <c r="J549" s="3">
        <v>51.0</v>
      </c>
      <c r="K549" s="3">
        <v>52.6</v>
      </c>
      <c r="L549" s="3">
        <v>49.4</v>
      </c>
      <c r="M549" s="12">
        <f>(PMI!$D549+PMI!$E549)/2</f>
        <v>47.9</v>
      </c>
      <c r="N549" s="12">
        <f>(PMI!$F549+PMI!$G549+PMI!$I549+PMI!$L549)/4</f>
        <v>49.475</v>
      </c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10">
        <v>34213.0</v>
      </c>
      <c r="B550" s="3">
        <v>50.8</v>
      </c>
      <c r="C550" s="3">
        <v>52.6</v>
      </c>
      <c r="D550" s="3">
        <v>55.2</v>
      </c>
      <c r="E550" s="3">
        <v>44.5</v>
      </c>
      <c r="F550" s="3">
        <v>51.3</v>
      </c>
      <c r="G550" s="3">
        <v>46.2</v>
      </c>
      <c r="H550" s="11"/>
      <c r="I550" s="3">
        <v>49.0</v>
      </c>
      <c r="J550" s="3">
        <v>49.0</v>
      </c>
      <c r="K550" s="3">
        <v>51.7</v>
      </c>
      <c r="L550" s="3">
        <v>49.9</v>
      </c>
      <c r="M550" s="12">
        <f>(PMI!$D550+PMI!$E550)/2</f>
        <v>49.85</v>
      </c>
      <c r="N550" s="12">
        <f>(PMI!$F550+PMI!$G550+PMI!$I550+PMI!$L550)/4</f>
        <v>49.1</v>
      </c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10">
        <v>34243.0</v>
      </c>
      <c r="B551" s="3">
        <v>53.4</v>
      </c>
      <c r="C551" s="3">
        <v>58.9</v>
      </c>
      <c r="D551" s="3">
        <v>56.1</v>
      </c>
      <c r="E551" s="3">
        <v>46.0</v>
      </c>
      <c r="F551" s="3">
        <v>50.7</v>
      </c>
      <c r="G551" s="3">
        <v>48.6</v>
      </c>
      <c r="H551" s="11"/>
      <c r="I551" s="3">
        <v>50.9</v>
      </c>
      <c r="J551" s="3">
        <v>55.5</v>
      </c>
      <c r="K551" s="3">
        <v>54.1</v>
      </c>
      <c r="L551" s="3">
        <v>49.4</v>
      </c>
      <c r="M551" s="12">
        <f>(PMI!$D551+PMI!$E551)/2</f>
        <v>51.05</v>
      </c>
      <c r="N551" s="12">
        <f>(PMI!$F551+PMI!$G551+PMI!$I551+PMI!$L551)/4</f>
        <v>49.9</v>
      </c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10">
        <v>34274.0</v>
      </c>
      <c r="B552" s="3">
        <v>53.8</v>
      </c>
      <c r="C552" s="3">
        <v>60.4</v>
      </c>
      <c r="D552" s="3">
        <v>57.5</v>
      </c>
      <c r="E552" s="3">
        <v>45.5</v>
      </c>
      <c r="F552" s="3">
        <v>50.9</v>
      </c>
      <c r="G552" s="3">
        <v>45.5</v>
      </c>
      <c r="H552" s="11"/>
      <c r="I552" s="3">
        <v>52.7</v>
      </c>
      <c r="J552" s="3">
        <v>56.5</v>
      </c>
      <c r="K552" s="3">
        <v>55.0</v>
      </c>
      <c r="L552" s="3">
        <v>51.5</v>
      </c>
      <c r="M552" s="12">
        <f>(PMI!$D552+PMI!$E552)/2</f>
        <v>51.5</v>
      </c>
      <c r="N552" s="12">
        <f>(PMI!$F552+PMI!$G552+PMI!$I552+PMI!$L552)/4</f>
        <v>50.15</v>
      </c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10">
        <v>34304.0</v>
      </c>
      <c r="B553" s="3">
        <v>55.6</v>
      </c>
      <c r="C553" s="3">
        <v>62.4</v>
      </c>
      <c r="D553" s="3">
        <v>61.7</v>
      </c>
      <c r="E553" s="3">
        <v>47.1</v>
      </c>
      <c r="F553" s="3">
        <v>51.5</v>
      </c>
      <c r="G553" s="3">
        <v>43.2</v>
      </c>
      <c r="H553" s="11"/>
      <c r="I553" s="3">
        <v>53.1</v>
      </c>
      <c r="J553" s="3">
        <v>54.5</v>
      </c>
      <c r="K553" s="3">
        <v>53.8</v>
      </c>
      <c r="L553" s="3">
        <v>50.3</v>
      </c>
      <c r="M553" s="12">
        <f>(PMI!$D553+PMI!$E553)/2</f>
        <v>54.4</v>
      </c>
      <c r="N553" s="12">
        <f>(PMI!$F553+PMI!$G553+PMI!$I553+PMI!$L553)/4</f>
        <v>49.525</v>
      </c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10">
        <v>34335.0</v>
      </c>
      <c r="B554" s="3">
        <v>56.0</v>
      </c>
      <c r="C554" s="3">
        <v>63.5</v>
      </c>
      <c r="D554" s="3">
        <v>59.7</v>
      </c>
      <c r="E554" s="3">
        <v>47.5</v>
      </c>
      <c r="F554" s="3">
        <v>54.4</v>
      </c>
      <c r="G554" s="3">
        <v>43.9</v>
      </c>
      <c r="H554" s="11"/>
      <c r="I554" s="3">
        <v>58.9</v>
      </c>
      <c r="J554" s="3">
        <v>58.0</v>
      </c>
      <c r="K554" s="3">
        <v>55.3</v>
      </c>
      <c r="L554" s="3">
        <v>52.4</v>
      </c>
      <c r="M554" s="12">
        <f>(PMI!$D554+PMI!$E554)/2</f>
        <v>53.6</v>
      </c>
      <c r="N554" s="12">
        <f>(PMI!$F554+PMI!$G554+PMI!$I554+PMI!$L554)/4</f>
        <v>52.4</v>
      </c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10">
        <v>34366.0</v>
      </c>
      <c r="B555" s="3">
        <v>56.5</v>
      </c>
      <c r="C555" s="3">
        <v>62.2</v>
      </c>
      <c r="D555" s="3">
        <v>60.2</v>
      </c>
      <c r="E555" s="3">
        <v>48.7</v>
      </c>
      <c r="F555" s="3">
        <v>57.0</v>
      </c>
      <c r="G555" s="3">
        <v>44.6</v>
      </c>
      <c r="H555" s="11"/>
      <c r="I555" s="3">
        <v>63.0</v>
      </c>
      <c r="J555" s="3">
        <v>56.5</v>
      </c>
      <c r="K555" s="3">
        <v>58.3</v>
      </c>
      <c r="L555" s="3">
        <v>51.9</v>
      </c>
      <c r="M555" s="12">
        <f>(PMI!$D555+PMI!$E555)/2</f>
        <v>54.45</v>
      </c>
      <c r="N555" s="12">
        <f>(PMI!$F555+PMI!$G555+PMI!$I555+PMI!$L555)/4</f>
        <v>54.125</v>
      </c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10">
        <v>34394.0</v>
      </c>
      <c r="B556" s="3">
        <v>56.9</v>
      </c>
      <c r="C556" s="3">
        <v>62.8</v>
      </c>
      <c r="D556" s="3">
        <v>63.4</v>
      </c>
      <c r="E556" s="3">
        <v>48.2</v>
      </c>
      <c r="F556" s="3">
        <v>55.4</v>
      </c>
      <c r="G556" s="3">
        <v>43.0</v>
      </c>
      <c r="H556" s="11"/>
      <c r="I556" s="3">
        <v>62.9</v>
      </c>
      <c r="J556" s="3">
        <v>56.5</v>
      </c>
      <c r="K556" s="3">
        <v>55.2</v>
      </c>
      <c r="L556" s="3">
        <v>51.8</v>
      </c>
      <c r="M556" s="12">
        <f>(PMI!$D556+PMI!$E556)/2</f>
        <v>55.8</v>
      </c>
      <c r="N556" s="12">
        <f>(PMI!$F556+PMI!$G556+PMI!$I556+PMI!$L556)/4</f>
        <v>53.275</v>
      </c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10">
        <v>34425.0</v>
      </c>
      <c r="B557" s="3">
        <v>57.4</v>
      </c>
      <c r="C557" s="3">
        <v>62.7</v>
      </c>
      <c r="D557" s="3">
        <v>61.4</v>
      </c>
      <c r="E557" s="3">
        <v>50.1</v>
      </c>
      <c r="F557" s="3">
        <v>57.2</v>
      </c>
      <c r="G557" s="3">
        <v>45.9</v>
      </c>
      <c r="H557" s="11"/>
      <c r="I557" s="3">
        <v>63.5</v>
      </c>
      <c r="J557" s="3">
        <v>61.5</v>
      </c>
      <c r="K557" s="3">
        <v>56.9</v>
      </c>
      <c r="L557" s="3">
        <v>51.8</v>
      </c>
      <c r="M557" s="12">
        <f>(PMI!$D557+PMI!$E557)/2</f>
        <v>55.75</v>
      </c>
      <c r="N557" s="12">
        <f>(PMI!$F557+PMI!$G557+PMI!$I557+PMI!$L557)/4</f>
        <v>54.6</v>
      </c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10">
        <v>34455.0</v>
      </c>
      <c r="B558" s="3">
        <v>58.2</v>
      </c>
      <c r="C558" s="3">
        <v>61.6</v>
      </c>
      <c r="D558" s="3">
        <v>62.7</v>
      </c>
      <c r="E558" s="3">
        <v>51.4</v>
      </c>
      <c r="F558" s="3">
        <v>60.2</v>
      </c>
      <c r="G558" s="3">
        <v>47.6</v>
      </c>
      <c r="H558" s="11"/>
      <c r="I558" s="3">
        <v>67.8</v>
      </c>
      <c r="J558" s="3">
        <v>61.5</v>
      </c>
      <c r="K558" s="3">
        <v>54.9</v>
      </c>
      <c r="L558" s="3">
        <v>53.4</v>
      </c>
      <c r="M558" s="12">
        <f>(PMI!$D558+PMI!$E558)/2</f>
        <v>57.05</v>
      </c>
      <c r="N558" s="12">
        <f>(PMI!$F558+PMI!$G558+PMI!$I558+PMI!$L558)/4</f>
        <v>57.25</v>
      </c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10">
        <v>34486.0</v>
      </c>
      <c r="B559" s="3">
        <v>58.8</v>
      </c>
      <c r="C559" s="3">
        <v>65.0</v>
      </c>
      <c r="D559" s="3">
        <v>62.0</v>
      </c>
      <c r="E559" s="3">
        <v>49.5</v>
      </c>
      <c r="F559" s="3">
        <v>60.3</v>
      </c>
      <c r="G559" s="3">
        <v>48.3</v>
      </c>
      <c r="H559" s="11"/>
      <c r="I559" s="3">
        <v>69.7</v>
      </c>
      <c r="J559" s="3">
        <v>60.0</v>
      </c>
      <c r="K559" s="3">
        <v>57.8</v>
      </c>
      <c r="L559" s="3">
        <v>55.2</v>
      </c>
      <c r="M559" s="12">
        <f>(PMI!$D559+PMI!$E559)/2</f>
        <v>55.75</v>
      </c>
      <c r="N559" s="12">
        <f>(PMI!$F559+PMI!$G559+PMI!$I559+PMI!$L559)/4</f>
        <v>58.375</v>
      </c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10">
        <v>34516.0</v>
      </c>
      <c r="B560" s="3">
        <v>58.5</v>
      </c>
      <c r="C560" s="3">
        <v>64.2</v>
      </c>
      <c r="D560" s="3">
        <v>62.3</v>
      </c>
      <c r="E560" s="3">
        <v>52.3</v>
      </c>
      <c r="F560" s="3">
        <v>58.1</v>
      </c>
      <c r="G560" s="3">
        <v>45.1</v>
      </c>
      <c r="H560" s="11"/>
      <c r="I560" s="3">
        <v>71.6</v>
      </c>
      <c r="J560" s="3">
        <v>59.5</v>
      </c>
      <c r="K560" s="3">
        <v>56.7</v>
      </c>
      <c r="L560" s="3">
        <v>51.1</v>
      </c>
      <c r="M560" s="12">
        <f>(PMI!$D560+PMI!$E560)/2</f>
        <v>57.3</v>
      </c>
      <c r="N560" s="12">
        <f>(PMI!$F560+PMI!$G560+PMI!$I560+PMI!$L560)/4</f>
        <v>56.475</v>
      </c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10">
        <v>34547.0</v>
      </c>
      <c r="B561" s="3">
        <v>58.0</v>
      </c>
      <c r="C561" s="3">
        <v>63.0</v>
      </c>
      <c r="D561" s="3">
        <v>60.2</v>
      </c>
      <c r="E561" s="3">
        <v>51.4</v>
      </c>
      <c r="F561" s="3">
        <v>61.6</v>
      </c>
      <c r="G561" s="3">
        <v>44.9</v>
      </c>
      <c r="H561" s="11"/>
      <c r="I561" s="3">
        <v>75.2</v>
      </c>
      <c r="J561" s="3">
        <v>60.5</v>
      </c>
      <c r="K561" s="3">
        <v>57.7</v>
      </c>
      <c r="L561" s="3">
        <v>51.3</v>
      </c>
      <c r="M561" s="12">
        <f>(PMI!$D561+PMI!$E561)/2</f>
        <v>55.8</v>
      </c>
      <c r="N561" s="12">
        <f>(PMI!$F561+PMI!$G561+PMI!$I561+PMI!$L561)/4</f>
        <v>58.25</v>
      </c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10">
        <v>34578.0</v>
      </c>
      <c r="B562" s="3">
        <v>59.0</v>
      </c>
      <c r="C562" s="3">
        <v>62.7</v>
      </c>
      <c r="D562" s="3">
        <v>62.8</v>
      </c>
      <c r="E562" s="3">
        <v>52.5</v>
      </c>
      <c r="F562" s="3">
        <v>62.5</v>
      </c>
      <c r="G562" s="3">
        <v>46.1</v>
      </c>
      <c r="H562" s="11"/>
      <c r="I562" s="3">
        <v>80.3</v>
      </c>
      <c r="J562" s="3">
        <v>60.5</v>
      </c>
      <c r="K562" s="3">
        <v>60.0</v>
      </c>
      <c r="L562" s="3">
        <v>53.0</v>
      </c>
      <c r="M562" s="12">
        <f>(PMI!$D562+PMI!$E562)/2</f>
        <v>57.65</v>
      </c>
      <c r="N562" s="12">
        <f>(PMI!$F562+PMI!$G562+PMI!$I562+PMI!$L562)/4</f>
        <v>60.475</v>
      </c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10">
        <v>34608.0</v>
      </c>
      <c r="B563" s="3">
        <v>59.4</v>
      </c>
      <c r="C563" s="3">
        <v>63.0</v>
      </c>
      <c r="D563" s="3">
        <v>63.3</v>
      </c>
      <c r="E563" s="3">
        <v>51.1</v>
      </c>
      <c r="F563" s="3">
        <v>64.9</v>
      </c>
      <c r="G563" s="3">
        <v>47.6</v>
      </c>
      <c r="H563" s="11"/>
      <c r="I563" s="3">
        <v>84.1</v>
      </c>
      <c r="J563" s="3">
        <v>60.5</v>
      </c>
      <c r="K563" s="3">
        <v>58.5</v>
      </c>
      <c r="L563" s="3">
        <v>53.7</v>
      </c>
      <c r="M563" s="12">
        <f>(PMI!$D563+PMI!$E563)/2</f>
        <v>57.2</v>
      </c>
      <c r="N563" s="12">
        <f>(PMI!$F563+PMI!$G563+PMI!$I563+PMI!$L563)/4</f>
        <v>62.575</v>
      </c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10">
        <v>34639.0</v>
      </c>
      <c r="B564" s="3">
        <v>59.2</v>
      </c>
      <c r="C564" s="3">
        <v>61.5</v>
      </c>
      <c r="D564" s="3">
        <v>63.9</v>
      </c>
      <c r="E564" s="3">
        <v>51.6</v>
      </c>
      <c r="F564" s="3">
        <v>64.7</v>
      </c>
      <c r="G564" s="3">
        <v>47.3</v>
      </c>
      <c r="H564" s="11"/>
      <c r="I564" s="3">
        <v>84.5</v>
      </c>
      <c r="J564" s="3">
        <v>58.0</v>
      </c>
      <c r="K564" s="3">
        <v>56.1</v>
      </c>
      <c r="L564" s="3">
        <v>53.2</v>
      </c>
      <c r="M564" s="12">
        <f>(PMI!$D564+PMI!$E564)/2</f>
        <v>57.75</v>
      </c>
      <c r="N564" s="12">
        <f>(PMI!$F564+PMI!$G564+PMI!$I564+PMI!$L564)/4</f>
        <v>62.425</v>
      </c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10">
        <v>34669.0</v>
      </c>
      <c r="B565" s="3">
        <v>56.1</v>
      </c>
      <c r="C565" s="3">
        <v>58.9</v>
      </c>
      <c r="D565" s="3">
        <v>59.5</v>
      </c>
      <c r="E565" s="3">
        <v>46.7</v>
      </c>
      <c r="F565" s="3">
        <v>64.8</v>
      </c>
      <c r="G565" s="3">
        <v>45.0</v>
      </c>
      <c r="H565" s="11"/>
      <c r="I565" s="3">
        <v>87.1</v>
      </c>
      <c r="J565" s="3">
        <v>53.5</v>
      </c>
      <c r="K565" s="3">
        <v>58.4</v>
      </c>
      <c r="L565" s="3">
        <v>52.6</v>
      </c>
      <c r="M565" s="12">
        <f>(PMI!$D565+PMI!$E565)/2</f>
        <v>53.1</v>
      </c>
      <c r="N565" s="12">
        <f>(PMI!$F565+PMI!$G565+PMI!$I565+PMI!$L565)/4</f>
        <v>62.375</v>
      </c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10">
        <v>34700.0</v>
      </c>
      <c r="B566" s="3">
        <v>57.4</v>
      </c>
      <c r="C566" s="3">
        <v>59.7</v>
      </c>
      <c r="D566" s="3">
        <v>60.9</v>
      </c>
      <c r="E566" s="3">
        <v>51.9</v>
      </c>
      <c r="F566" s="3">
        <v>62.7</v>
      </c>
      <c r="G566" s="3">
        <v>45.2</v>
      </c>
      <c r="H566" s="11"/>
      <c r="I566" s="3">
        <v>86.0</v>
      </c>
      <c r="J566" s="3">
        <v>54.0</v>
      </c>
      <c r="K566" s="3">
        <v>59.1</v>
      </c>
      <c r="L566" s="3">
        <v>52.2</v>
      </c>
      <c r="M566" s="12">
        <f>(PMI!$D566+PMI!$E566)/2</f>
        <v>56.4</v>
      </c>
      <c r="N566" s="12">
        <f>(PMI!$F566+PMI!$G566+PMI!$I566+PMI!$L566)/4</f>
        <v>61.525</v>
      </c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10">
        <v>34731.0</v>
      </c>
      <c r="B567" s="3">
        <v>55.1</v>
      </c>
      <c r="C567" s="3">
        <v>56.6</v>
      </c>
      <c r="D567" s="3">
        <v>57.4</v>
      </c>
      <c r="E567" s="3">
        <v>50.0</v>
      </c>
      <c r="F567" s="3">
        <v>60.7</v>
      </c>
      <c r="G567" s="3">
        <v>47.0</v>
      </c>
      <c r="H567" s="11"/>
      <c r="I567" s="3">
        <v>81.7</v>
      </c>
      <c r="J567" s="3">
        <v>55.0</v>
      </c>
      <c r="K567" s="3">
        <v>58.7</v>
      </c>
      <c r="L567" s="3">
        <v>53.0</v>
      </c>
      <c r="M567" s="12">
        <f>(PMI!$D567+PMI!$E567)/2</f>
        <v>53.7</v>
      </c>
      <c r="N567" s="12">
        <f>(PMI!$F567+PMI!$G567+PMI!$I567+PMI!$L567)/4</f>
        <v>60.6</v>
      </c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10">
        <v>34759.0</v>
      </c>
      <c r="B568" s="3">
        <v>52.1</v>
      </c>
      <c r="C568" s="3">
        <v>51.9</v>
      </c>
      <c r="D568" s="3">
        <v>54.8</v>
      </c>
      <c r="E568" s="3">
        <v>48.1</v>
      </c>
      <c r="F568" s="3">
        <v>56.9</v>
      </c>
      <c r="G568" s="3">
        <v>47.0</v>
      </c>
      <c r="H568" s="11"/>
      <c r="I568" s="3">
        <v>78.9</v>
      </c>
      <c r="J568" s="3">
        <v>51.0</v>
      </c>
      <c r="K568" s="3">
        <v>56.9</v>
      </c>
      <c r="L568" s="3">
        <v>52.0</v>
      </c>
      <c r="M568" s="12">
        <f>(PMI!$D568+PMI!$E568)/2</f>
        <v>51.45</v>
      </c>
      <c r="N568" s="12">
        <f>(PMI!$F568+PMI!$G568+PMI!$I568+PMI!$L568)/4</f>
        <v>58.7</v>
      </c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10">
        <v>34790.0</v>
      </c>
      <c r="B569" s="3">
        <v>51.5</v>
      </c>
      <c r="C569" s="3">
        <v>52.2</v>
      </c>
      <c r="D569" s="3">
        <v>54.1</v>
      </c>
      <c r="E569" s="3">
        <v>47.4</v>
      </c>
      <c r="F569" s="3">
        <v>56.3</v>
      </c>
      <c r="G569" s="3">
        <v>44.2</v>
      </c>
      <c r="H569" s="11"/>
      <c r="I569" s="3">
        <v>74.5</v>
      </c>
      <c r="J569" s="3">
        <v>47.5</v>
      </c>
      <c r="K569" s="3">
        <v>55.6</v>
      </c>
      <c r="L569" s="3">
        <v>49.8</v>
      </c>
      <c r="M569" s="12">
        <f>(PMI!$D569+PMI!$E569)/2</f>
        <v>50.75</v>
      </c>
      <c r="N569" s="12">
        <f>(PMI!$F569+PMI!$G569+PMI!$I569+PMI!$L569)/4</f>
        <v>56.2</v>
      </c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10">
        <v>34820.0</v>
      </c>
      <c r="B570" s="3">
        <v>46.7</v>
      </c>
      <c r="C570" s="3">
        <v>44.0</v>
      </c>
      <c r="D570" s="3">
        <v>49.9</v>
      </c>
      <c r="E570" s="3">
        <v>43.7</v>
      </c>
      <c r="F570" s="3">
        <v>53.3</v>
      </c>
      <c r="G570" s="3">
        <v>43.3</v>
      </c>
      <c r="H570" s="11"/>
      <c r="I570" s="3">
        <v>70.5</v>
      </c>
      <c r="J570" s="3">
        <v>42.0</v>
      </c>
      <c r="K570" s="3">
        <v>56.3</v>
      </c>
      <c r="L570" s="3">
        <v>47.9</v>
      </c>
      <c r="M570" s="12">
        <f>(PMI!$D570+PMI!$E570)/2</f>
        <v>46.8</v>
      </c>
      <c r="N570" s="12">
        <f>(PMI!$F570+PMI!$G570+PMI!$I570+PMI!$L570)/4</f>
        <v>53.75</v>
      </c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10">
        <v>34851.0</v>
      </c>
      <c r="B571" s="3">
        <v>45.9</v>
      </c>
      <c r="C571" s="3">
        <v>43.5</v>
      </c>
      <c r="D571" s="3">
        <v>46.1</v>
      </c>
      <c r="E571" s="3">
        <v>46.5</v>
      </c>
      <c r="F571" s="3">
        <v>51.8</v>
      </c>
      <c r="G571" s="3">
        <v>43.0</v>
      </c>
      <c r="H571" s="11"/>
      <c r="I571" s="3">
        <v>64.7</v>
      </c>
      <c r="J571" s="3">
        <v>36.0</v>
      </c>
      <c r="K571" s="3">
        <v>56.1</v>
      </c>
      <c r="L571" s="3">
        <v>49.3</v>
      </c>
      <c r="M571" s="12">
        <f>(PMI!$D571+PMI!$E571)/2</f>
        <v>46.3</v>
      </c>
      <c r="N571" s="12">
        <f>(PMI!$F571+PMI!$G571+PMI!$I571+PMI!$L571)/4</f>
        <v>52.2</v>
      </c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10">
        <v>34881.0</v>
      </c>
      <c r="B572" s="3">
        <v>50.7</v>
      </c>
      <c r="C572" s="3">
        <v>52.7</v>
      </c>
      <c r="D572" s="3">
        <v>51.6</v>
      </c>
      <c r="E572" s="3">
        <v>48.1</v>
      </c>
      <c r="F572" s="3">
        <v>51.3</v>
      </c>
      <c r="G572" s="3">
        <v>46.5</v>
      </c>
      <c r="H572" s="11"/>
      <c r="I572" s="3">
        <v>58.6</v>
      </c>
      <c r="J572" s="3">
        <v>41.5</v>
      </c>
      <c r="K572" s="3">
        <v>56.4</v>
      </c>
      <c r="L572" s="3">
        <v>53.3</v>
      </c>
      <c r="M572" s="12">
        <f>(PMI!$D572+PMI!$E572)/2</f>
        <v>49.85</v>
      </c>
      <c r="N572" s="12">
        <f>(PMI!$F572+PMI!$G572+PMI!$I572+PMI!$L572)/4</f>
        <v>52.425</v>
      </c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10">
        <v>34912.0</v>
      </c>
      <c r="B573" s="3">
        <v>47.1</v>
      </c>
      <c r="C573" s="3">
        <v>46.5</v>
      </c>
      <c r="D573" s="3">
        <v>49.1</v>
      </c>
      <c r="E573" s="3">
        <v>45.0</v>
      </c>
      <c r="F573" s="3">
        <v>49.1</v>
      </c>
      <c r="G573" s="3">
        <v>45.5</v>
      </c>
      <c r="H573" s="11"/>
      <c r="I573" s="3">
        <v>48.5</v>
      </c>
      <c r="J573" s="3">
        <v>40.5</v>
      </c>
      <c r="K573" s="3">
        <v>53.7</v>
      </c>
      <c r="L573" s="3">
        <v>51.8</v>
      </c>
      <c r="M573" s="12">
        <f>(PMI!$D573+PMI!$E573)/2</f>
        <v>47.05</v>
      </c>
      <c r="N573" s="12">
        <f>(PMI!$F573+PMI!$G573+PMI!$I573+PMI!$L573)/4</f>
        <v>48.725</v>
      </c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10">
        <v>34943.0</v>
      </c>
      <c r="B574" s="3">
        <v>48.1</v>
      </c>
      <c r="C574" s="3">
        <v>49.4</v>
      </c>
      <c r="D574" s="3">
        <v>50.5</v>
      </c>
      <c r="E574" s="3">
        <v>45.5</v>
      </c>
      <c r="F574" s="3">
        <v>50.0</v>
      </c>
      <c r="G574" s="3">
        <v>40.3</v>
      </c>
      <c r="H574" s="11"/>
      <c r="I574" s="3">
        <v>48.8</v>
      </c>
      <c r="J574" s="3">
        <v>43.5</v>
      </c>
      <c r="K574" s="3">
        <v>52.6</v>
      </c>
      <c r="L574" s="3">
        <v>49.4</v>
      </c>
      <c r="M574" s="12">
        <f>(PMI!$D574+PMI!$E574)/2</f>
        <v>48</v>
      </c>
      <c r="N574" s="12">
        <f>(PMI!$F574+PMI!$G574+PMI!$I574+PMI!$L574)/4</f>
        <v>47.125</v>
      </c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10">
        <v>34973.0</v>
      </c>
      <c r="B575" s="3">
        <v>46.7</v>
      </c>
      <c r="C575" s="3">
        <v>47.5</v>
      </c>
      <c r="D575" s="3">
        <v>47.0</v>
      </c>
      <c r="E575" s="3">
        <v>45.9</v>
      </c>
      <c r="F575" s="3">
        <v>48.4</v>
      </c>
      <c r="G575" s="3">
        <v>42.2</v>
      </c>
      <c r="H575" s="11"/>
      <c r="I575" s="3">
        <v>46.5</v>
      </c>
      <c r="J575" s="3">
        <v>40.5</v>
      </c>
      <c r="K575" s="3">
        <v>52.2</v>
      </c>
      <c r="L575" s="3">
        <v>49.5</v>
      </c>
      <c r="M575" s="12">
        <f>(PMI!$D575+PMI!$E575)/2</f>
        <v>46.45</v>
      </c>
      <c r="N575" s="12">
        <f>(PMI!$F575+PMI!$G575+PMI!$I575+PMI!$L575)/4</f>
        <v>46.65</v>
      </c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10">
        <v>35004.0</v>
      </c>
      <c r="B576" s="3">
        <v>45.9</v>
      </c>
      <c r="C576" s="3">
        <v>48.6</v>
      </c>
      <c r="D576" s="3">
        <v>45.0</v>
      </c>
      <c r="E576" s="3">
        <v>44.5</v>
      </c>
      <c r="F576" s="3">
        <v>45.3</v>
      </c>
      <c r="G576" s="3">
        <v>43.3</v>
      </c>
      <c r="H576" s="11"/>
      <c r="I576" s="3">
        <v>44.5</v>
      </c>
      <c r="J576" s="3">
        <v>41.5</v>
      </c>
      <c r="K576" s="3">
        <v>54.7</v>
      </c>
      <c r="L576" s="3">
        <v>44.2</v>
      </c>
      <c r="M576" s="12">
        <f>(PMI!$D576+PMI!$E576)/2</f>
        <v>44.75</v>
      </c>
      <c r="N576" s="12">
        <f>(PMI!$F576+PMI!$G576+PMI!$I576+PMI!$L576)/4</f>
        <v>44.325</v>
      </c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10">
        <v>35034.0</v>
      </c>
      <c r="B577" s="3">
        <v>46.2</v>
      </c>
      <c r="C577" s="3">
        <v>45.9</v>
      </c>
      <c r="D577" s="3">
        <v>46.9</v>
      </c>
      <c r="E577" s="3">
        <v>46.2</v>
      </c>
      <c r="F577" s="3">
        <v>47.5</v>
      </c>
      <c r="G577" s="3">
        <v>43.1</v>
      </c>
      <c r="H577" s="11"/>
      <c r="I577" s="3">
        <v>40.3</v>
      </c>
      <c r="J577" s="3">
        <v>42.0</v>
      </c>
      <c r="K577" s="3">
        <v>56.5</v>
      </c>
      <c r="L577" s="3">
        <v>49.5</v>
      </c>
      <c r="M577" s="12">
        <f>(PMI!$D577+PMI!$E577)/2</f>
        <v>46.55</v>
      </c>
      <c r="N577" s="12">
        <f>(PMI!$F577+PMI!$G577+PMI!$I577+PMI!$L577)/4</f>
        <v>45.1</v>
      </c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10">
        <v>35065.0</v>
      </c>
      <c r="B578" s="3">
        <v>45.5</v>
      </c>
      <c r="C578" s="3">
        <v>44.1</v>
      </c>
      <c r="D578" s="3">
        <v>45.6</v>
      </c>
      <c r="E578" s="3">
        <v>45.3</v>
      </c>
      <c r="F578" s="3">
        <v>47.8</v>
      </c>
      <c r="G578" s="3">
        <v>46.6</v>
      </c>
      <c r="H578" s="11"/>
      <c r="I578" s="3">
        <v>40.3</v>
      </c>
      <c r="J578" s="3">
        <v>41.5</v>
      </c>
      <c r="K578" s="3">
        <v>50.0</v>
      </c>
      <c r="L578" s="3">
        <v>48.3</v>
      </c>
      <c r="M578" s="12">
        <f>(PMI!$D578+PMI!$E578)/2</f>
        <v>45.45</v>
      </c>
      <c r="N578" s="12">
        <f>(PMI!$F578+PMI!$G578+PMI!$I578+PMI!$L578)/4</f>
        <v>45.75</v>
      </c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10">
        <v>35096.0</v>
      </c>
      <c r="B579" s="3">
        <v>45.9</v>
      </c>
      <c r="C579" s="3">
        <v>46.1</v>
      </c>
      <c r="D579" s="3">
        <v>45.7</v>
      </c>
      <c r="E579" s="3">
        <v>44.6</v>
      </c>
      <c r="F579" s="3">
        <v>49.5</v>
      </c>
      <c r="G579" s="3">
        <v>43.3</v>
      </c>
      <c r="H579" s="11"/>
      <c r="I579" s="3">
        <v>38.8</v>
      </c>
      <c r="J579" s="3">
        <v>43.5</v>
      </c>
      <c r="K579" s="3">
        <v>51.3</v>
      </c>
      <c r="L579" s="3">
        <v>48.1</v>
      </c>
      <c r="M579" s="12">
        <f>(PMI!$D579+PMI!$E579)/2</f>
        <v>45.15</v>
      </c>
      <c r="N579" s="12">
        <f>(PMI!$F579+PMI!$G579+PMI!$I579+PMI!$L579)/4</f>
        <v>44.925</v>
      </c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10">
        <v>35125.0</v>
      </c>
      <c r="B580" s="3">
        <v>46.9</v>
      </c>
      <c r="C580" s="3">
        <v>49.1</v>
      </c>
      <c r="D580" s="3">
        <v>47.3</v>
      </c>
      <c r="E580" s="3">
        <v>44.4</v>
      </c>
      <c r="F580" s="3">
        <v>49.6</v>
      </c>
      <c r="G580" s="3">
        <v>40.0</v>
      </c>
      <c r="H580" s="11"/>
      <c r="I580" s="3">
        <v>39.9</v>
      </c>
      <c r="J580" s="3">
        <v>40.0</v>
      </c>
      <c r="K580" s="3">
        <v>50.8</v>
      </c>
      <c r="L580" s="3">
        <v>47.5</v>
      </c>
      <c r="M580" s="12">
        <f>(PMI!$D580+PMI!$E580)/2</f>
        <v>45.85</v>
      </c>
      <c r="N580" s="12">
        <f>(PMI!$F580+PMI!$G580+PMI!$I580+PMI!$L580)/4</f>
        <v>44.25</v>
      </c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10">
        <v>35156.0</v>
      </c>
      <c r="B581" s="3">
        <v>49.3</v>
      </c>
      <c r="C581" s="3">
        <v>52.3</v>
      </c>
      <c r="D581" s="3">
        <v>51.6</v>
      </c>
      <c r="E581" s="3">
        <v>44.7</v>
      </c>
      <c r="F581" s="3">
        <v>49.4</v>
      </c>
      <c r="G581" s="3">
        <v>43.9</v>
      </c>
      <c r="H581" s="11"/>
      <c r="I581" s="3">
        <v>41.5</v>
      </c>
      <c r="J581" s="3">
        <v>44.0</v>
      </c>
      <c r="K581" s="3">
        <v>51.4</v>
      </c>
      <c r="L581" s="3">
        <v>47.5</v>
      </c>
      <c r="M581" s="12">
        <f>(PMI!$D581+PMI!$E581)/2</f>
        <v>48.15</v>
      </c>
      <c r="N581" s="12">
        <f>(PMI!$F581+PMI!$G581+PMI!$I581+PMI!$L581)/4</f>
        <v>45.575</v>
      </c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10">
        <v>35186.0</v>
      </c>
      <c r="B582" s="3">
        <v>49.1</v>
      </c>
      <c r="C582" s="3">
        <v>51.7</v>
      </c>
      <c r="D582" s="3">
        <v>53.0</v>
      </c>
      <c r="E582" s="3">
        <v>44.7</v>
      </c>
      <c r="F582" s="3">
        <v>49.9</v>
      </c>
      <c r="G582" s="3">
        <v>39.2</v>
      </c>
      <c r="H582" s="11"/>
      <c r="I582" s="3">
        <v>50.2</v>
      </c>
      <c r="J582" s="3">
        <v>48.5</v>
      </c>
      <c r="K582" s="3">
        <v>57.2</v>
      </c>
      <c r="L582" s="3">
        <v>48.5</v>
      </c>
      <c r="M582" s="12">
        <f>(PMI!$D582+PMI!$E582)/2</f>
        <v>48.85</v>
      </c>
      <c r="N582" s="12">
        <f>(PMI!$F582+PMI!$G582+PMI!$I582+PMI!$L582)/4</f>
        <v>46.95</v>
      </c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10">
        <v>35217.0</v>
      </c>
      <c r="B583" s="3">
        <v>53.6</v>
      </c>
      <c r="C583" s="3">
        <v>59.4</v>
      </c>
      <c r="D583" s="3">
        <v>55.5</v>
      </c>
      <c r="E583" s="3">
        <v>48.2</v>
      </c>
      <c r="F583" s="3">
        <v>52.8</v>
      </c>
      <c r="G583" s="3">
        <v>43.1</v>
      </c>
      <c r="H583" s="11"/>
      <c r="I583" s="3">
        <v>47.9</v>
      </c>
      <c r="J583" s="3">
        <v>51.0</v>
      </c>
      <c r="K583" s="3">
        <v>53.1</v>
      </c>
      <c r="L583" s="3">
        <v>48.7</v>
      </c>
      <c r="M583" s="12">
        <f>(PMI!$D583+PMI!$E583)/2</f>
        <v>51.85</v>
      </c>
      <c r="N583" s="12">
        <f>(PMI!$F583+PMI!$G583+PMI!$I583+PMI!$L583)/4</f>
        <v>48.125</v>
      </c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10">
        <v>35247.0</v>
      </c>
      <c r="B584" s="3">
        <v>49.7</v>
      </c>
      <c r="C584" s="3">
        <v>51.9</v>
      </c>
      <c r="D584" s="3">
        <v>52.4</v>
      </c>
      <c r="E584" s="3">
        <v>46.7</v>
      </c>
      <c r="F584" s="3">
        <v>50.8</v>
      </c>
      <c r="G584" s="3">
        <v>40.8</v>
      </c>
      <c r="H584" s="11"/>
      <c r="I584" s="3">
        <v>44.1</v>
      </c>
      <c r="J584" s="3">
        <v>47.5</v>
      </c>
      <c r="K584" s="3">
        <v>53.2</v>
      </c>
      <c r="L584" s="3">
        <v>53.1</v>
      </c>
      <c r="M584" s="12">
        <f>(PMI!$D584+PMI!$E584)/2</f>
        <v>49.55</v>
      </c>
      <c r="N584" s="12">
        <f>(PMI!$F584+PMI!$G584+PMI!$I584+PMI!$L584)/4</f>
        <v>47.2</v>
      </c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10">
        <v>35278.0</v>
      </c>
      <c r="B585" s="3">
        <v>51.6</v>
      </c>
      <c r="C585" s="3">
        <v>54.6</v>
      </c>
      <c r="D585" s="3">
        <v>55.1</v>
      </c>
      <c r="E585" s="3">
        <v>47.4</v>
      </c>
      <c r="F585" s="3">
        <v>51.9</v>
      </c>
      <c r="G585" s="3">
        <v>42.2</v>
      </c>
      <c r="H585" s="11"/>
      <c r="I585" s="3">
        <v>46.6</v>
      </c>
      <c r="J585" s="3">
        <v>47.0</v>
      </c>
      <c r="K585" s="3">
        <v>55.3</v>
      </c>
      <c r="L585" s="3">
        <v>50.0</v>
      </c>
      <c r="M585" s="12">
        <f>(PMI!$D585+PMI!$E585)/2</f>
        <v>51.25</v>
      </c>
      <c r="N585" s="12">
        <f>(PMI!$F585+PMI!$G585+PMI!$I585+PMI!$L585)/4</f>
        <v>47.675</v>
      </c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10">
        <v>35309.0</v>
      </c>
      <c r="B586" s="3">
        <v>51.1</v>
      </c>
      <c r="C586" s="3">
        <v>54.6</v>
      </c>
      <c r="D586" s="3">
        <v>53.5</v>
      </c>
      <c r="E586" s="3">
        <v>47.2</v>
      </c>
      <c r="F586" s="3">
        <v>50.0</v>
      </c>
      <c r="G586" s="3">
        <v>43.7</v>
      </c>
      <c r="H586" s="11"/>
      <c r="I586" s="3">
        <v>50.1</v>
      </c>
      <c r="J586" s="3">
        <v>49.5</v>
      </c>
      <c r="K586" s="3">
        <v>55.1</v>
      </c>
      <c r="L586" s="3">
        <v>50.7</v>
      </c>
      <c r="M586" s="12">
        <f>(PMI!$D586+PMI!$E586)/2</f>
        <v>50.35</v>
      </c>
      <c r="N586" s="12">
        <f>(PMI!$F586+PMI!$G586+PMI!$I586+PMI!$L586)/4</f>
        <v>48.625</v>
      </c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10">
        <v>35339.0</v>
      </c>
      <c r="B587" s="3">
        <v>50.5</v>
      </c>
      <c r="C587" s="3">
        <v>52.9</v>
      </c>
      <c r="D587" s="3">
        <v>55.4</v>
      </c>
      <c r="E587" s="3">
        <v>46.0</v>
      </c>
      <c r="F587" s="3">
        <v>50.9</v>
      </c>
      <c r="G587" s="3">
        <v>39.6</v>
      </c>
      <c r="H587" s="11"/>
      <c r="I587" s="3">
        <v>45.7</v>
      </c>
      <c r="J587" s="3">
        <v>44.5</v>
      </c>
      <c r="K587" s="3">
        <v>57.0</v>
      </c>
      <c r="L587" s="3">
        <v>52.8</v>
      </c>
      <c r="M587" s="12">
        <f>(PMI!$D587+PMI!$E587)/2</f>
        <v>50.7</v>
      </c>
      <c r="N587" s="12">
        <f>(PMI!$F587+PMI!$G587+PMI!$I587+PMI!$L587)/4</f>
        <v>47.25</v>
      </c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10">
        <v>35370.0</v>
      </c>
      <c r="B588" s="3">
        <v>53.0</v>
      </c>
      <c r="C588" s="3">
        <v>56.9</v>
      </c>
      <c r="D588" s="3">
        <v>58.1</v>
      </c>
      <c r="E588" s="3">
        <v>47.6</v>
      </c>
      <c r="F588" s="3">
        <v>51.2</v>
      </c>
      <c r="G588" s="3">
        <v>42.3</v>
      </c>
      <c r="H588" s="11"/>
      <c r="I588" s="3">
        <v>46.3</v>
      </c>
      <c r="J588" s="3">
        <v>49.0</v>
      </c>
      <c r="K588" s="3">
        <v>55.5</v>
      </c>
      <c r="L588" s="3">
        <v>53.2</v>
      </c>
      <c r="M588" s="12">
        <f>(PMI!$D588+PMI!$E588)/2</f>
        <v>52.85</v>
      </c>
      <c r="N588" s="12">
        <f>(PMI!$F588+PMI!$G588+PMI!$I588+PMI!$L588)/4</f>
        <v>48.25</v>
      </c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10">
        <v>35400.0</v>
      </c>
      <c r="B589" s="3">
        <v>55.2</v>
      </c>
      <c r="C589" s="3">
        <v>61.7</v>
      </c>
      <c r="D589" s="3">
        <v>58.9</v>
      </c>
      <c r="E589" s="3">
        <v>48.6</v>
      </c>
      <c r="F589" s="3">
        <v>52.0</v>
      </c>
      <c r="G589" s="3">
        <v>44.4</v>
      </c>
      <c r="H589" s="11"/>
      <c r="I589" s="3">
        <v>52.0</v>
      </c>
      <c r="J589" s="3">
        <v>51.0</v>
      </c>
      <c r="K589" s="3">
        <v>56.5</v>
      </c>
      <c r="L589" s="3">
        <v>51.6</v>
      </c>
      <c r="M589" s="12">
        <f>(PMI!$D589+PMI!$E589)/2</f>
        <v>53.75</v>
      </c>
      <c r="N589" s="12">
        <f>(PMI!$F589+PMI!$G589+PMI!$I589+PMI!$L589)/4</f>
        <v>50</v>
      </c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10">
        <v>35431.0</v>
      </c>
      <c r="B590" s="3">
        <v>53.8</v>
      </c>
      <c r="C590" s="3">
        <v>57.0</v>
      </c>
      <c r="D590" s="3">
        <v>59.8</v>
      </c>
      <c r="E590" s="3">
        <v>49.8</v>
      </c>
      <c r="F590" s="3">
        <v>49.7</v>
      </c>
      <c r="G590" s="3">
        <v>43.2</v>
      </c>
      <c r="H590" s="11"/>
      <c r="I590" s="3">
        <v>53.3</v>
      </c>
      <c r="J590" s="3">
        <v>45.5</v>
      </c>
      <c r="K590" s="3">
        <v>56.2</v>
      </c>
      <c r="L590" s="3">
        <v>53.5</v>
      </c>
      <c r="M590" s="12">
        <f>(PMI!$D590+PMI!$E590)/2</f>
        <v>54.8</v>
      </c>
      <c r="N590" s="12">
        <f>(PMI!$F590+PMI!$G590+PMI!$I590+PMI!$L590)/4</f>
        <v>49.925</v>
      </c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10">
        <v>35462.0</v>
      </c>
      <c r="B591" s="3">
        <v>53.1</v>
      </c>
      <c r="C591" s="3">
        <v>57.6</v>
      </c>
      <c r="D591" s="3">
        <v>58.9</v>
      </c>
      <c r="E591" s="3">
        <v>45.9</v>
      </c>
      <c r="F591" s="3">
        <v>52.1</v>
      </c>
      <c r="G591" s="3">
        <v>41.3</v>
      </c>
      <c r="H591" s="11"/>
      <c r="I591" s="3">
        <v>56.4</v>
      </c>
      <c r="J591" s="3">
        <v>48.5</v>
      </c>
      <c r="K591" s="3">
        <v>54.6</v>
      </c>
      <c r="L591" s="3">
        <v>53.7</v>
      </c>
      <c r="M591" s="12">
        <f>(PMI!$D591+PMI!$E591)/2</f>
        <v>52.4</v>
      </c>
      <c r="N591" s="12">
        <f>(PMI!$F591+PMI!$G591+PMI!$I591+PMI!$L591)/4</f>
        <v>50.875</v>
      </c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10">
        <v>35490.0</v>
      </c>
      <c r="B592" s="3">
        <v>53.8</v>
      </c>
      <c r="C592" s="3">
        <v>58.6</v>
      </c>
      <c r="D592" s="3">
        <v>55.0</v>
      </c>
      <c r="E592" s="3">
        <v>50.8</v>
      </c>
      <c r="F592" s="3">
        <v>53.1</v>
      </c>
      <c r="G592" s="3">
        <v>43.5</v>
      </c>
      <c r="H592" s="3">
        <v>46.5</v>
      </c>
      <c r="I592" s="3">
        <v>51.1</v>
      </c>
      <c r="J592" s="3">
        <v>51.5</v>
      </c>
      <c r="K592" s="3">
        <v>55.7</v>
      </c>
      <c r="L592" s="3">
        <v>48.3</v>
      </c>
      <c r="M592" s="12">
        <f>(PMI!$D592+PMI!$E592)/2</f>
        <v>52.9</v>
      </c>
      <c r="N592" s="12">
        <f>(PMI!$F592+PMI!$G592+PMI!$I592+PMI!$L592)/4</f>
        <v>49</v>
      </c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10">
        <v>35521.0</v>
      </c>
      <c r="B593" s="3">
        <v>53.7</v>
      </c>
      <c r="C593" s="3">
        <v>56.6</v>
      </c>
      <c r="D593" s="3">
        <v>56.8</v>
      </c>
      <c r="E593" s="3">
        <v>51.8</v>
      </c>
      <c r="F593" s="3">
        <v>53.4</v>
      </c>
      <c r="G593" s="3">
        <v>41.4</v>
      </c>
      <c r="H593" s="3">
        <v>47.0</v>
      </c>
      <c r="I593" s="3">
        <v>50.3</v>
      </c>
      <c r="J593" s="3">
        <v>54.0</v>
      </c>
      <c r="K593" s="3">
        <v>54.7</v>
      </c>
      <c r="L593" s="3">
        <v>51.4</v>
      </c>
      <c r="M593" s="12">
        <f>(PMI!$D593+PMI!$E593)/2</f>
        <v>54.3</v>
      </c>
      <c r="N593" s="12">
        <f>(PMI!$F593+PMI!$G593+PMI!$I593+PMI!$L593)/4</f>
        <v>49.125</v>
      </c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10">
        <v>35551.0</v>
      </c>
      <c r="B594" s="3">
        <v>56.1</v>
      </c>
      <c r="C594" s="3">
        <v>62.3</v>
      </c>
      <c r="D594" s="3">
        <v>56.7</v>
      </c>
      <c r="E594" s="3">
        <v>50.7</v>
      </c>
      <c r="F594" s="3">
        <v>55.0</v>
      </c>
      <c r="G594" s="3">
        <v>48.1</v>
      </c>
      <c r="H594" s="3">
        <v>44.5</v>
      </c>
      <c r="I594" s="3">
        <v>48.5</v>
      </c>
      <c r="J594" s="3">
        <v>58.0</v>
      </c>
      <c r="K594" s="3">
        <v>53.6</v>
      </c>
      <c r="L594" s="3">
        <v>52.1</v>
      </c>
      <c r="M594" s="12">
        <f>(PMI!$D594+PMI!$E594)/2</f>
        <v>53.7</v>
      </c>
      <c r="N594" s="12">
        <f>(PMI!$F594+PMI!$G594+PMI!$I594+PMI!$L594)/4</f>
        <v>50.925</v>
      </c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10">
        <v>35582.0</v>
      </c>
      <c r="B595" s="3">
        <v>54.9</v>
      </c>
      <c r="C595" s="3">
        <v>59.4</v>
      </c>
      <c r="D595" s="3">
        <v>56.5</v>
      </c>
      <c r="E595" s="3">
        <v>51.3</v>
      </c>
      <c r="F595" s="3">
        <v>54.6</v>
      </c>
      <c r="G595" s="3">
        <v>45.2</v>
      </c>
      <c r="H595" s="3">
        <v>50.5</v>
      </c>
      <c r="I595" s="3">
        <v>48.9</v>
      </c>
      <c r="J595" s="3">
        <v>53.5</v>
      </c>
      <c r="K595" s="3">
        <v>53.5</v>
      </c>
      <c r="L595" s="3">
        <v>54.1</v>
      </c>
      <c r="M595" s="12">
        <f>(PMI!$D595+PMI!$E595)/2</f>
        <v>53.9</v>
      </c>
      <c r="N595" s="12">
        <f>(PMI!$F595+PMI!$G595+PMI!$I595+PMI!$L595)/4</f>
        <v>50.7</v>
      </c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10">
        <v>35612.0</v>
      </c>
      <c r="B596" s="3">
        <v>57.7</v>
      </c>
      <c r="C596" s="3">
        <v>61.3</v>
      </c>
      <c r="D596" s="3">
        <v>64.5</v>
      </c>
      <c r="E596" s="3">
        <v>51.7</v>
      </c>
      <c r="F596" s="3">
        <v>54.7</v>
      </c>
      <c r="G596" s="3">
        <v>45.9</v>
      </c>
      <c r="H596" s="3">
        <v>47.5</v>
      </c>
      <c r="I596" s="3">
        <v>52.0</v>
      </c>
      <c r="J596" s="3">
        <v>56.5</v>
      </c>
      <c r="K596" s="3">
        <v>56.2</v>
      </c>
      <c r="L596" s="3">
        <v>55.2</v>
      </c>
      <c r="M596" s="12">
        <f>(PMI!$D596+PMI!$E596)/2</f>
        <v>58.1</v>
      </c>
      <c r="N596" s="12">
        <f>(PMI!$F596+PMI!$G596+PMI!$I596+PMI!$L596)/4</f>
        <v>51.95</v>
      </c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10">
        <v>35643.0</v>
      </c>
      <c r="B597" s="3">
        <v>56.3</v>
      </c>
      <c r="C597" s="3">
        <v>60.3</v>
      </c>
      <c r="D597" s="3">
        <v>61.5</v>
      </c>
      <c r="E597" s="3">
        <v>51.3</v>
      </c>
      <c r="F597" s="3">
        <v>55.2</v>
      </c>
      <c r="G597" s="3">
        <v>43.0</v>
      </c>
      <c r="H597" s="3">
        <v>47.0</v>
      </c>
      <c r="I597" s="3">
        <v>52.1</v>
      </c>
      <c r="J597" s="3">
        <v>60.0</v>
      </c>
      <c r="K597" s="3">
        <v>54.9</v>
      </c>
      <c r="L597" s="3">
        <v>53.7</v>
      </c>
      <c r="M597" s="12">
        <f>(PMI!$D597+PMI!$E597)/2</f>
        <v>56.4</v>
      </c>
      <c r="N597" s="12">
        <f>(PMI!$F597+PMI!$G597+PMI!$I597+PMI!$L597)/4</f>
        <v>51</v>
      </c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10">
        <v>35674.0</v>
      </c>
      <c r="B598" s="3">
        <v>53.9</v>
      </c>
      <c r="C598" s="3">
        <v>55.4</v>
      </c>
      <c r="D598" s="3">
        <v>56.6</v>
      </c>
      <c r="E598" s="3">
        <v>51.2</v>
      </c>
      <c r="F598" s="3">
        <v>54.8</v>
      </c>
      <c r="G598" s="3">
        <v>47.2</v>
      </c>
      <c r="H598" s="3">
        <v>49.5</v>
      </c>
      <c r="I598" s="3">
        <v>53.0</v>
      </c>
      <c r="J598" s="3">
        <v>50.0</v>
      </c>
      <c r="K598" s="3">
        <v>49.4</v>
      </c>
      <c r="L598" s="3">
        <v>51.6</v>
      </c>
      <c r="M598" s="12">
        <f>(PMI!$D598+PMI!$E598)/2</f>
        <v>53.9</v>
      </c>
      <c r="N598" s="12">
        <f>(PMI!$F598+PMI!$G598+PMI!$I598+PMI!$L598)/4</f>
        <v>51.65</v>
      </c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10">
        <v>35704.0</v>
      </c>
      <c r="B599" s="3">
        <v>56.4</v>
      </c>
      <c r="C599" s="3">
        <v>60.9</v>
      </c>
      <c r="D599" s="3">
        <v>59.4</v>
      </c>
      <c r="E599" s="3">
        <v>52.8</v>
      </c>
      <c r="F599" s="3">
        <v>54.9</v>
      </c>
      <c r="G599" s="3">
        <v>45.0</v>
      </c>
      <c r="H599" s="3">
        <v>47.0</v>
      </c>
      <c r="I599" s="3">
        <v>53.6</v>
      </c>
      <c r="J599" s="3">
        <v>56.5</v>
      </c>
      <c r="K599" s="3">
        <v>54.9</v>
      </c>
      <c r="L599" s="3">
        <v>51.8</v>
      </c>
      <c r="M599" s="12">
        <f>(PMI!$D599+PMI!$E599)/2</f>
        <v>56.1</v>
      </c>
      <c r="N599" s="12">
        <f>(PMI!$F599+PMI!$G599+PMI!$I599+PMI!$L599)/4</f>
        <v>51.325</v>
      </c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10">
        <v>35735.0</v>
      </c>
      <c r="B600" s="3">
        <v>55.7</v>
      </c>
      <c r="C600" s="3">
        <v>57.4</v>
      </c>
      <c r="D600" s="3">
        <v>60.1</v>
      </c>
      <c r="E600" s="3">
        <v>53.7</v>
      </c>
      <c r="F600" s="3">
        <v>55.2</v>
      </c>
      <c r="G600" s="3">
        <v>43.8</v>
      </c>
      <c r="H600" s="3">
        <v>48.0</v>
      </c>
      <c r="I600" s="3">
        <v>52.1</v>
      </c>
      <c r="J600" s="3">
        <v>50.0</v>
      </c>
      <c r="K600" s="3">
        <v>53.6</v>
      </c>
      <c r="L600" s="3">
        <v>54.7</v>
      </c>
      <c r="M600" s="12">
        <f>(PMI!$D600+PMI!$E600)/2</f>
        <v>56.9</v>
      </c>
      <c r="N600" s="12">
        <f>(PMI!$F600+PMI!$G600+PMI!$I600+PMI!$L600)/4</f>
        <v>51.45</v>
      </c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10">
        <v>35765.0</v>
      </c>
      <c r="B601" s="3">
        <v>54.5</v>
      </c>
      <c r="C601" s="3">
        <v>57.2</v>
      </c>
      <c r="D601" s="3">
        <v>56.7</v>
      </c>
      <c r="E601" s="3">
        <v>52.1</v>
      </c>
      <c r="F601" s="3">
        <v>53.9</v>
      </c>
      <c r="G601" s="3">
        <v>46.2</v>
      </c>
      <c r="H601" s="3">
        <v>46.5</v>
      </c>
      <c r="I601" s="3">
        <v>52.2</v>
      </c>
      <c r="J601" s="3">
        <v>52.0</v>
      </c>
      <c r="K601" s="3">
        <v>51.4</v>
      </c>
      <c r="L601" s="3">
        <v>56.0</v>
      </c>
      <c r="M601" s="12">
        <f>(PMI!$D601+PMI!$E601)/2</f>
        <v>54.4</v>
      </c>
      <c r="N601" s="12">
        <f>(PMI!$F601+PMI!$G601+PMI!$I601+PMI!$L601)/4</f>
        <v>52.075</v>
      </c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10">
        <v>35796.0</v>
      </c>
      <c r="B602" s="3">
        <v>53.8</v>
      </c>
      <c r="C602" s="3">
        <v>57.1</v>
      </c>
      <c r="D602" s="3">
        <v>55.6</v>
      </c>
      <c r="E602" s="3">
        <v>51.1</v>
      </c>
      <c r="F602" s="3">
        <v>53.0</v>
      </c>
      <c r="G602" s="3">
        <v>46.2</v>
      </c>
      <c r="H602" s="3">
        <v>47.5</v>
      </c>
      <c r="I602" s="3">
        <v>47.0</v>
      </c>
      <c r="J602" s="3">
        <v>47.0</v>
      </c>
      <c r="K602" s="3">
        <v>46.2</v>
      </c>
      <c r="L602" s="3">
        <v>55.1</v>
      </c>
      <c r="M602" s="12">
        <f>(PMI!$D602+PMI!$E602)/2</f>
        <v>53.35</v>
      </c>
      <c r="N602" s="12">
        <f>(PMI!$F602+PMI!$G602+PMI!$I602+PMI!$L602)/4</f>
        <v>50.325</v>
      </c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10">
        <v>35827.0</v>
      </c>
      <c r="B603" s="3">
        <v>52.9</v>
      </c>
      <c r="C603" s="3">
        <v>54.6</v>
      </c>
      <c r="D603" s="3">
        <v>54.6</v>
      </c>
      <c r="E603" s="3">
        <v>51.7</v>
      </c>
      <c r="F603" s="3">
        <v>52.8</v>
      </c>
      <c r="G603" s="3">
        <v>46.2</v>
      </c>
      <c r="H603" s="3">
        <v>46.5</v>
      </c>
      <c r="I603" s="3">
        <v>45.5</v>
      </c>
      <c r="J603" s="3">
        <v>48.0</v>
      </c>
      <c r="K603" s="3">
        <v>48.3</v>
      </c>
      <c r="L603" s="3">
        <v>53.4</v>
      </c>
      <c r="M603" s="12">
        <f>(PMI!$D603+PMI!$E603)/2</f>
        <v>53.15</v>
      </c>
      <c r="N603" s="12">
        <f>(PMI!$F603+PMI!$G603+PMI!$I603+PMI!$L603)/4</f>
        <v>49.475</v>
      </c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10">
        <v>35855.0</v>
      </c>
      <c r="B604" s="3">
        <v>52.9</v>
      </c>
      <c r="C604" s="3">
        <v>54.9</v>
      </c>
      <c r="D604" s="3">
        <v>54.5</v>
      </c>
      <c r="E604" s="3">
        <v>51.4</v>
      </c>
      <c r="F604" s="3">
        <v>53.0</v>
      </c>
      <c r="G604" s="3">
        <v>46.0</v>
      </c>
      <c r="H604" s="3">
        <v>47.0</v>
      </c>
      <c r="I604" s="3">
        <v>44.2</v>
      </c>
      <c r="J604" s="3">
        <v>51.5</v>
      </c>
      <c r="K604" s="3">
        <v>46.7</v>
      </c>
      <c r="L604" s="3">
        <v>52.1</v>
      </c>
      <c r="M604" s="12">
        <f>(PMI!$D604+PMI!$E604)/2</f>
        <v>52.95</v>
      </c>
      <c r="N604" s="12">
        <f>(PMI!$F604+PMI!$G604+PMI!$I604+PMI!$L604)/4</f>
        <v>48.825</v>
      </c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10">
        <v>35886.0</v>
      </c>
      <c r="B605" s="3">
        <v>52.2</v>
      </c>
      <c r="C605" s="3">
        <v>55.3</v>
      </c>
      <c r="D605" s="3">
        <v>53.3</v>
      </c>
      <c r="E605" s="3">
        <v>49.0</v>
      </c>
      <c r="F605" s="3">
        <v>52.4</v>
      </c>
      <c r="G605" s="3">
        <v>46.1</v>
      </c>
      <c r="H605" s="3">
        <v>49.0</v>
      </c>
      <c r="I605" s="3">
        <v>40.5</v>
      </c>
      <c r="J605" s="3">
        <v>52.5</v>
      </c>
      <c r="K605" s="3">
        <v>48.5</v>
      </c>
      <c r="L605" s="3">
        <v>53.9</v>
      </c>
      <c r="M605" s="12">
        <f>(PMI!$D605+PMI!$E605)/2</f>
        <v>51.15</v>
      </c>
      <c r="N605" s="12">
        <f>(PMI!$F605+PMI!$G605+PMI!$I605+PMI!$L605)/4</f>
        <v>48.225</v>
      </c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10">
        <v>35916.0</v>
      </c>
      <c r="B606" s="3">
        <v>50.9</v>
      </c>
      <c r="C606" s="3">
        <v>51.5</v>
      </c>
      <c r="D606" s="3">
        <v>53.2</v>
      </c>
      <c r="E606" s="3">
        <v>49.3</v>
      </c>
      <c r="F606" s="3">
        <v>51.5</v>
      </c>
      <c r="G606" s="3">
        <v>46.0</v>
      </c>
      <c r="H606" s="3">
        <v>47.5</v>
      </c>
      <c r="I606" s="3">
        <v>41.1</v>
      </c>
      <c r="J606" s="3">
        <v>48.5</v>
      </c>
      <c r="K606" s="3">
        <v>46.1</v>
      </c>
      <c r="L606" s="3">
        <v>52.1</v>
      </c>
      <c r="M606" s="12">
        <f>(PMI!$D606+PMI!$E606)/2</f>
        <v>51.25</v>
      </c>
      <c r="N606" s="12">
        <f>(PMI!$F606+PMI!$G606+PMI!$I606+PMI!$L606)/4</f>
        <v>47.675</v>
      </c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10">
        <v>35947.0</v>
      </c>
      <c r="B607" s="3">
        <v>48.9</v>
      </c>
      <c r="C607" s="3">
        <v>50.2</v>
      </c>
      <c r="D607" s="3">
        <v>50.6</v>
      </c>
      <c r="E607" s="3">
        <v>47.0</v>
      </c>
      <c r="F607" s="3">
        <v>50.9</v>
      </c>
      <c r="G607" s="3">
        <v>42.0</v>
      </c>
      <c r="H607" s="3">
        <v>44.5</v>
      </c>
      <c r="I607" s="3">
        <v>39.3</v>
      </c>
      <c r="J607" s="3">
        <v>48.5</v>
      </c>
      <c r="K607" s="3">
        <v>46.3</v>
      </c>
      <c r="L607" s="3">
        <v>51.7</v>
      </c>
      <c r="M607" s="12">
        <f>(PMI!$D607+PMI!$E607)/2</f>
        <v>48.8</v>
      </c>
      <c r="N607" s="12">
        <f>(PMI!$F607+PMI!$G607+PMI!$I607+PMI!$L607)/4</f>
        <v>45.975</v>
      </c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10">
        <v>35977.0</v>
      </c>
      <c r="B608" s="3">
        <v>49.2</v>
      </c>
      <c r="C608" s="3">
        <v>51.8</v>
      </c>
      <c r="D608" s="3">
        <v>50.8</v>
      </c>
      <c r="E608" s="3">
        <v>45.1</v>
      </c>
      <c r="F608" s="3">
        <v>50.2</v>
      </c>
      <c r="G608" s="3">
        <v>44.1</v>
      </c>
      <c r="H608" s="3">
        <v>47.0</v>
      </c>
      <c r="I608" s="3">
        <v>38.4</v>
      </c>
      <c r="J608" s="3">
        <v>44.5</v>
      </c>
      <c r="K608" s="3">
        <v>45.6</v>
      </c>
      <c r="L608" s="3">
        <v>51.4</v>
      </c>
      <c r="M608" s="12">
        <f>(PMI!$D608+PMI!$E608)/2</f>
        <v>47.95</v>
      </c>
      <c r="N608" s="12">
        <f>(PMI!$F608+PMI!$G608+PMI!$I608+PMI!$L608)/4</f>
        <v>46.025</v>
      </c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10">
        <v>36008.0</v>
      </c>
      <c r="B609" s="3">
        <v>49.3</v>
      </c>
      <c r="C609" s="3">
        <v>50.9</v>
      </c>
      <c r="D609" s="3">
        <v>50.7</v>
      </c>
      <c r="E609" s="3">
        <v>46.7</v>
      </c>
      <c r="F609" s="3">
        <v>50.3</v>
      </c>
      <c r="G609" s="3">
        <v>44.8</v>
      </c>
      <c r="H609" s="3">
        <v>50.5</v>
      </c>
      <c r="I609" s="3">
        <v>37.8</v>
      </c>
      <c r="J609" s="3">
        <v>48.5</v>
      </c>
      <c r="K609" s="3">
        <v>44.0</v>
      </c>
      <c r="L609" s="3">
        <v>51.2</v>
      </c>
      <c r="M609" s="12">
        <f>(PMI!$D609+PMI!$E609)/2</f>
        <v>48.7</v>
      </c>
      <c r="N609" s="12">
        <f>(PMI!$F609+PMI!$G609+PMI!$I609+PMI!$L609)/4</f>
        <v>46.025</v>
      </c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10">
        <v>36039.0</v>
      </c>
      <c r="B610" s="3">
        <v>48.7</v>
      </c>
      <c r="C610" s="3">
        <v>49.4</v>
      </c>
      <c r="D610" s="3">
        <v>51.2</v>
      </c>
      <c r="E610" s="3">
        <v>45.7</v>
      </c>
      <c r="F610" s="3">
        <v>50.8</v>
      </c>
      <c r="G610" s="3">
        <v>43.2</v>
      </c>
      <c r="H610" s="3">
        <v>49.0</v>
      </c>
      <c r="I610" s="3">
        <v>34.0</v>
      </c>
      <c r="J610" s="3">
        <v>46.0</v>
      </c>
      <c r="K610" s="3">
        <v>44.2</v>
      </c>
      <c r="L610" s="3">
        <v>51.5</v>
      </c>
      <c r="M610" s="12">
        <f>(PMI!$D610+PMI!$E610)/2</f>
        <v>48.45</v>
      </c>
      <c r="N610" s="12">
        <f>(PMI!$F610+PMI!$G610+PMI!$I610+PMI!$L610)/4</f>
        <v>44.875</v>
      </c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10">
        <v>36069.0</v>
      </c>
      <c r="B611" s="3">
        <v>48.7</v>
      </c>
      <c r="C611" s="3">
        <v>48.0</v>
      </c>
      <c r="D611" s="3">
        <v>52.4</v>
      </c>
      <c r="E611" s="3">
        <v>45.2</v>
      </c>
      <c r="F611" s="3">
        <v>49.8</v>
      </c>
      <c r="G611" s="3">
        <v>47.1</v>
      </c>
      <c r="H611" s="3">
        <v>50.5</v>
      </c>
      <c r="I611" s="3">
        <v>34.7</v>
      </c>
      <c r="J611" s="3">
        <v>45.5</v>
      </c>
      <c r="K611" s="3">
        <v>44.4</v>
      </c>
      <c r="L611" s="3">
        <v>51.3</v>
      </c>
      <c r="M611" s="12">
        <f>(PMI!$D611+PMI!$E611)/2</f>
        <v>48.8</v>
      </c>
      <c r="N611" s="12">
        <f>(PMI!$F611+PMI!$G611+PMI!$I611+PMI!$L611)/4</f>
        <v>45.725</v>
      </c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10">
        <v>36100.0</v>
      </c>
      <c r="B612" s="3">
        <v>48.2</v>
      </c>
      <c r="C612" s="3">
        <v>48.3</v>
      </c>
      <c r="D612" s="3">
        <v>50.4</v>
      </c>
      <c r="E612" s="3">
        <v>45.3</v>
      </c>
      <c r="F612" s="3">
        <v>50.4</v>
      </c>
      <c r="G612" s="3">
        <v>44.5</v>
      </c>
      <c r="H612" s="3">
        <v>47.5</v>
      </c>
      <c r="I612" s="3">
        <v>34.5</v>
      </c>
      <c r="J612" s="3">
        <v>40.5</v>
      </c>
      <c r="K612" s="3">
        <v>43.7</v>
      </c>
      <c r="L612" s="3">
        <v>51.1</v>
      </c>
      <c r="M612" s="12">
        <f>(PMI!$D612+PMI!$E612)/2</f>
        <v>47.85</v>
      </c>
      <c r="N612" s="12">
        <f>(PMI!$F612+PMI!$G612+PMI!$I612+PMI!$L612)/4</f>
        <v>45.125</v>
      </c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10">
        <v>36130.0</v>
      </c>
      <c r="B613" s="3">
        <v>46.8</v>
      </c>
      <c r="C613" s="3">
        <v>49.7</v>
      </c>
      <c r="D613" s="3">
        <v>47.7</v>
      </c>
      <c r="E613" s="3">
        <v>41.9</v>
      </c>
      <c r="F613" s="3">
        <v>48.5</v>
      </c>
      <c r="G613" s="3">
        <v>42.7</v>
      </c>
      <c r="H613" s="3">
        <v>47.0</v>
      </c>
      <c r="I613" s="3">
        <v>31.9</v>
      </c>
      <c r="J613" s="3">
        <v>37.0</v>
      </c>
      <c r="K613" s="3">
        <v>46.2</v>
      </c>
      <c r="L613" s="3">
        <v>50.5</v>
      </c>
      <c r="M613" s="12">
        <f>(PMI!$D613+PMI!$E613)/2</f>
        <v>44.8</v>
      </c>
      <c r="N613" s="12">
        <f>(PMI!$F613+PMI!$G613+PMI!$I613+PMI!$L613)/4</f>
        <v>43.4</v>
      </c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10">
        <v>36161.0</v>
      </c>
      <c r="B614" s="3">
        <v>50.6</v>
      </c>
      <c r="C614" s="3">
        <v>52.4</v>
      </c>
      <c r="D614" s="3">
        <v>55.6</v>
      </c>
      <c r="E614" s="3">
        <v>45.5</v>
      </c>
      <c r="F614" s="3">
        <v>51.0</v>
      </c>
      <c r="G614" s="3">
        <v>42.7</v>
      </c>
      <c r="H614" s="3">
        <v>44.0</v>
      </c>
      <c r="I614" s="3">
        <v>33.7</v>
      </c>
      <c r="J614" s="3">
        <v>38.0</v>
      </c>
      <c r="K614" s="3">
        <v>50.0</v>
      </c>
      <c r="L614" s="3">
        <v>50.5</v>
      </c>
      <c r="M614" s="12">
        <f>(PMI!$D614+PMI!$E614)/2</f>
        <v>50.55</v>
      </c>
      <c r="N614" s="12">
        <f>(PMI!$F614+PMI!$G614+PMI!$I614+PMI!$L614)/4</f>
        <v>44.475</v>
      </c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10">
        <v>36192.0</v>
      </c>
      <c r="B615" s="3">
        <v>51.7</v>
      </c>
      <c r="C615" s="3">
        <v>55.0</v>
      </c>
      <c r="D615" s="3">
        <v>56.0</v>
      </c>
      <c r="E615" s="3">
        <v>45.8</v>
      </c>
      <c r="F615" s="3">
        <v>50.8</v>
      </c>
      <c r="G615" s="3">
        <v>43.5</v>
      </c>
      <c r="H615" s="3">
        <v>43.0</v>
      </c>
      <c r="I615" s="3">
        <v>35.2</v>
      </c>
      <c r="J615" s="3">
        <v>48.5</v>
      </c>
      <c r="K615" s="3">
        <v>53.3</v>
      </c>
      <c r="L615" s="3">
        <v>54.6</v>
      </c>
      <c r="M615" s="12">
        <f>(PMI!$D615+PMI!$E615)/2</f>
        <v>50.9</v>
      </c>
      <c r="N615" s="12">
        <f>(PMI!$F615+PMI!$G615+PMI!$I615+PMI!$L615)/4</f>
        <v>46.025</v>
      </c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10">
        <v>36220.0</v>
      </c>
      <c r="B616" s="3">
        <v>52.4</v>
      </c>
      <c r="C616" s="3">
        <v>55.9</v>
      </c>
      <c r="D616" s="3">
        <v>55.7</v>
      </c>
      <c r="E616" s="3">
        <v>47.6</v>
      </c>
      <c r="F616" s="3">
        <v>52.3</v>
      </c>
      <c r="G616" s="3">
        <v>43.7</v>
      </c>
      <c r="H616" s="3">
        <v>43.5</v>
      </c>
      <c r="I616" s="3">
        <v>42.5</v>
      </c>
      <c r="J616" s="3">
        <v>52.0</v>
      </c>
      <c r="K616" s="3">
        <v>50.1</v>
      </c>
      <c r="L616" s="3">
        <v>52.8</v>
      </c>
      <c r="M616" s="12">
        <f>(PMI!$D616+PMI!$E616)/2</f>
        <v>51.65</v>
      </c>
      <c r="N616" s="12">
        <f>(PMI!$F616+PMI!$G616+PMI!$I616+PMI!$L616)/4</f>
        <v>47.825</v>
      </c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10">
        <v>36251.0</v>
      </c>
      <c r="B617" s="3">
        <v>52.3</v>
      </c>
      <c r="C617" s="3">
        <v>54.0</v>
      </c>
      <c r="D617" s="3">
        <v>57.2</v>
      </c>
      <c r="E617" s="3">
        <v>48.8</v>
      </c>
      <c r="F617" s="3">
        <v>49.5</v>
      </c>
      <c r="G617" s="3">
        <v>46.8</v>
      </c>
      <c r="H617" s="3">
        <v>45.0</v>
      </c>
      <c r="I617" s="3">
        <v>47.4</v>
      </c>
      <c r="J617" s="3">
        <v>53.0</v>
      </c>
      <c r="K617" s="3">
        <v>51.1</v>
      </c>
      <c r="L617" s="3">
        <v>51.6</v>
      </c>
      <c r="M617" s="12">
        <f>(PMI!$D617+PMI!$E617)/2</f>
        <v>53</v>
      </c>
      <c r="N617" s="12">
        <f>(PMI!$F617+PMI!$G617+PMI!$I617+PMI!$L617)/4</f>
        <v>48.825</v>
      </c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10">
        <v>36281.0</v>
      </c>
      <c r="B618" s="3">
        <v>54.3</v>
      </c>
      <c r="C618" s="3">
        <v>57.8</v>
      </c>
      <c r="D618" s="3">
        <v>58.5</v>
      </c>
      <c r="E618" s="3">
        <v>51.1</v>
      </c>
      <c r="F618" s="3">
        <v>52.1</v>
      </c>
      <c r="G618" s="3">
        <v>43.6</v>
      </c>
      <c r="H618" s="3">
        <v>45.5</v>
      </c>
      <c r="I618" s="3">
        <v>51.2</v>
      </c>
      <c r="J618" s="3">
        <v>55.5</v>
      </c>
      <c r="K618" s="3">
        <v>50.9</v>
      </c>
      <c r="L618" s="3">
        <v>53.1</v>
      </c>
      <c r="M618" s="12">
        <f>(PMI!$D618+PMI!$E618)/2</f>
        <v>54.8</v>
      </c>
      <c r="N618" s="12">
        <f>(PMI!$F618+PMI!$G618+PMI!$I618+PMI!$L618)/4</f>
        <v>50</v>
      </c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10">
        <v>36312.0</v>
      </c>
      <c r="B619" s="3">
        <v>55.8</v>
      </c>
      <c r="C619" s="3">
        <v>59.4</v>
      </c>
      <c r="D619" s="3">
        <v>61.6</v>
      </c>
      <c r="E619" s="3">
        <v>51.3</v>
      </c>
      <c r="F619" s="3">
        <v>52.6</v>
      </c>
      <c r="G619" s="3">
        <v>44.7</v>
      </c>
      <c r="H619" s="3">
        <v>43.5</v>
      </c>
      <c r="I619" s="3">
        <v>54.2</v>
      </c>
      <c r="J619" s="3">
        <v>54.5</v>
      </c>
      <c r="K619" s="3">
        <v>52.4</v>
      </c>
      <c r="L619" s="3">
        <v>52.2</v>
      </c>
      <c r="M619" s="12">
        <f>(PMI!$D619+PMI!$E619)/2</f>
        <v>56.45</v>
      </c>
      <c r="N619" s="12">
        <f>(PMI!$F619+PMI!$G619+PMI!$I619+PMI!$L619)/4</f>
        <v>50.925</v>
      </c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10">
        <v>36342.0</v>
      </c>
      <c r="B620" s="3">
        <v>53.6</v>
      </c>
      <c r="C620" s="3">
        <v>54.6</v>
      </c>
      <c r="D620" s="3">
        <v>58.1</v>
      </c>
      <c r="E620" s="3">
        <v>50.4</v>
      </c>
      <c r="F620" s="3">
        <v>54.0</v>
      </c>
      <c r="G620" s="3">
        <v>44.9</v>
      </c>
      <c r="H620" s="3">
        <v>45.0</v>
      </c>
      <c r="I620" s="3">
        <v>55.5</v>
      </c>
      <c r="J620" s="3">
        <v>50.5</v>
      </c>
      <c r="K620" s="3">
        <v>51.1</v>
      </c>
      <c r="L620" s="3">
        <v>54.1</v>
      </c>
      <c r="M620" s="12">
        <f>(PMI!$D620+PMI!$E620)/2</f>
        <v>54.25</v>
      </c>
      <c r="N620" s="12">
        <f>(PMI!$F620+PMI!$G620+PMI!$I620+PMI!$L620)/4</f>
        <v>52.125</v>
      </c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10">
        <v>36373.0</v>
      </c>
      <c r="B621" s="3">
        <v>54.8</v>
      </c>
      <c r="C621" s="3">
        <v>57.5</v>
      </c>
      <c r="D621" s="3">
        <v>58.3</v>
      </c>
      <c r="E621" s="3">
        <v>53.1</v>
      </c>
      <c r="F621" s="3">
        <v>51.4</v>
      </c>
      <c r="G621" s="3">
        <v>46.2</v>
      </c>
      <c r="H621" s="3">
        <v>45.5</v>
      </c>
      <c r="I621" s="3">
        <v>60.6</v>
      </c>
      <c r="J621" s="3">
        <v>52.5</v>
      </c>
      <c r="K621" s="3">
        <v>54.4</v>
      </c>
      <c r="L621" s="3">
        <v>53.7</v>
      </c>
      <c r="M621" s="12">
        <f>(PMI!$D621+PMI!$E621)/2</f>
        <v>55.7</v>
      </c>
      <c r="N621" s="12">
        <f>(PMI!$F621+PMI!$G621+PMI!$I621+PMI!$L621)/4</f>
        <v>52.975</v>
      </c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10">
        <v>36404.0</v>
      </c>
      <c r="B622" s="3">
        <v>57.0</v>
      </c>
      <c r="C622" s="3">
        <v>63.5</v>
      </c>
      <c r="D622" s="3">
        <v>59.9</v>
      </c>
      <c r="E622" s="3">
        <v>51.3</v>
      </c>
      <c r="F622" s="3">
        <v>55.8</v>
      </c>
      <c r="G622" s="3">
        <v>43.8</v>
      </c>
      <c r="H622" s="3">
        <v>43.5</v>
      </c>
      <c r="I622" s="3">
        <v>65.8</v>
      </c>
      <c r="J622" s="3">
        <v>54.5</v>
      </c>
      <c r="K622" s="3">
        <v>55.8</v>
      </c>
      <c r="L622" s="3">
        <v>54.2</v>
      </c>
      <c r="M622" s="12">
        <f>(PMI!$D622+PMI!$E622)/2</f>
        <v>55.6</v>
      </c>
      <c r="N622" s="12">
        <f>(PMI!$F622+PMI!$G622+PMI!$I622+PMI!$L622)/4</f>
        <v>54.9</v>
      </c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10">
        <v>36434.0</v>
      </c>
      <c r="B623" s="3">
        <v>57.2</v>
      </c>
      <c r="C623" s="3">
        <v>61.3</v>
      </c>
      <c r="D623" s="3">
        <v>59.7</v>
      </c>
      <c r="E623" s="3">
        <v>53.0</v>
      </c>
      <c r="F623" s="3">
        <v>56.2</v>
      </c>
      <c r="G623" s="3">
        <v>48.0</v>
      </c>
      <c r="H623" s="3">
        <v>44.5</v>
      </c>
      <c r="I623" s="3">
        <v>68.8</v>
      </c>
      <c r="J623" s="3">
        <v>54.0</v>
      </c>
      <c r="K623" s="3">
        <v>54.9</v>
      </c>
      <c r="L623" s="3">
        <v>54.3</v>
      </c>
      <c r="M623" s="12">
        <f>(PMI!$D623+PMI!$E623)/2</f>
        <v>56.35</v>
      </c>
      <c r="N623" s="12">
        <f>(PMI!$F623+PMI!$G623+PMI!$I623+PMI!$L623)/4</f>
        <v>56.825</v>
      </c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10">
        <v>36465.0</v>
      </c>
      <c r="B624" s="3">
        <v>58.1</v>
      </c>
      <c r="C624" s="3">
        <v>63.1</v>
      </c>
      <c r="D624" s="3">
        <v>60.2</v>
      </c>
      <c r="E624" s="3">
        <v>53.1</v>
      </c>
      <c r="F624" s="3">
        <v>56.8</v>
      </c>
      <c r="G624" s="3">
        <v>49.7</v>
      </c>
      <c r="H624" s="3">
        <v>48.5</v>
      </c>
      <c r="I624" s="3">
        <v>68.1</v>
      </c>
      <c r="J624" s="3">
        <v>58.5</v>
      </c>
      <c r="K624" s="3">
        <v>55.8</v>
      </c>
      <c r="L624" s="3">
        <v>52.7</v>
      </c>
      <c r="M624" s="12">
        <f>(PMI!$D624+PMI!$E624)/2</f>
        <v>56.65</v>
      </c>
      <c r="N624" s="12">
        <f>(PMI!$F624+PMI!$G624+PMI!$I624+PMI!$L624)/4</f>
        <v>56.825</v>
      </c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10">
        <v>36495.0</v>
      </c>
      <c r="B625" s="3">
        <v>57.8</v>
      </c>
      <c r="C625" s="3">
        <v>60.3</v>
      </c>
      <c r="D625" s="3">
        <v>60.6</v>
      </c>
      <c r="E625" s="3">
        <v>55.7</v>
      </c>
      <c r="F625" s="3">
        <v>56.7</v>
      </c>
      <c r="G625" s="3">
        <v>49.0</v>
      </c>
      <c r="H625" s="3">
        <v>48.5</v>
      </c>
      <c r="I625" s="3">
        <v>67.4</v>
      </c>
      <c r="J625" s="3">
        <v>50.0</v>
      </c>
      <c r="K625" s="3">
        <v>55.0</v>
      </c>
      <c r="L625" s="3">
        <v>52.0</v>
      </c>
      <c r="M625" s="12">
        <f>(PMI!$D625+PMI!$E625)/2</f>
        <v>58.15</v>
      </c>
      <c r="N625" s="12">
        <f>(PMI!$F625+PMI!$G625+PMI!$I625+PMI!$L625)/4</f>
        <v>56.275</v>
      </c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10">
        <v>36526.0</v>
      </c>
      <c r="B626" s="3">
        <v>56.7</v>
      </c>
      <c r="C626" s="3">
        <v>60.4</v>
      </c>
      <c r="D626" s="3">
        <v>57.8</v>
      </c>
      <c r="E626" s="3">
        <v>52.8</v>
      </c>
      <c r="F626" s="3">
        <v>55.0</v>
      </c>
      <c r="G626" s="3">
        <v>52.8</v>
      </c>
      <c r="H626" s="3">
        <v>46.5</v>
      </c>
      <c r="I626" s="3">
        <v>72.4</v>
      </c>
      <c r="J626" s="3">
        <v>52.0</v>
      </c>
      <c r="K626" s="3">
        <v>53.4</v>
      </c>
      <c r="L626" s="3">
        <v>52.9</v>
      </c>
      <c r="M626" s="12">
        <f>(PMI!$D626+PMI!$E626)/2</f>
        <v>55.3</v>
      </c>
      <c r="N626" s="12">
        <f>(PMI!$F626+PMI!$G626+PMI!$I626+PMI!$L626)/4</f>
        <v>58.275</v>
      </c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10">
        <v>36557.0</v>
      </c>
      <c r="B627" s="3">
        <v>55.8</v>
      </c>
      <c r="C627" s="3">
        <v>58.7</v>
      </c>
      <c r="D627" s="3">
        <v>59.1</v>
      </c>
      <c r="E627" s="3">
        <v>53.6</v>
      </c>
      <c r="F627" s="3">
        <v>54.4</v>
      </c>
      <c r="G627" s="3">
        <v>44.9</v>
      </c>
      <c r="H627" s="3">
        <v>48.0</v>
      </c>
      <c r="I627" s="3">
        <v>71.6</v>
      </c>
      <c r="J627" s="3">
        <v>54.0</v>
      </c>
      <c r="K627" s="3">
        <v>54.2</v>
      </c>
      <c r="L627" s="3">
        <v>53.0</v>
      </c>
      <c r="M627" s="12">
        <f>(PMI!$D627+PMI!$E627)/2</f>
        <v>56.35</v>
      </c>
      <c r="N627" s="12">
        <f>(PMI!$F627+PMI!$G627+PMI!$I627+PMI!$L627)/4</f>
        <v>55.975</v>
      </c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10">
        <v>36586.0</v>
      </c>
      <c r="B628" s="3">
        <v>54.9</v>
      </c>
      <c r="C628" s="3">
        <v>56.2</v>
      </c>
      <c r="D628" s="3">
        <v>59.5</v>
      </c>
      <c r="E628" s="3">
        <v>51.2</v>
      </c>
      <c r="F628" s="3">
        <v>54.3</v>
      </c>
      <c r="G628" s="3">
        <v>47.5</v>
      </c>
      <c r="H628" s="3">
        <v>48.0</v>
      </c>
      <c r="I628" s="3">
        <v>78.7</v>
      </c>
      <c r="J628" s="3">
        <v>51.0</v>
      </c>
      <c r="K628" s="3">
        <v>54.8</v>
      </c>
      <c r="L628" s="3">
        <v>53.5</v>
      </c>
      <c r="M628" s="12">
        <f>(PMI!$D628+PMI!$E628)/2</f>
        <v>55.35</v>
      </c>
      <c r="N628" s="12">
        <f>(PMI!$F628+PMI!$G628+PMI!$I628+PMI!$L628)/4</f>
        <v>58.5</v>
      </c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10">
        <v>36617.0</v>
      </c>
      <c r="B629" s="3">
        <v>54.7</v>
      </c>
      <c r="C629" s="3">
        <v>55.4</v>
      </c>
      <c r="D629" s="3">
        <v>58.1</v>
      </c>
      <c r="E629" s="3">
        <v>53.2</v>
      </c>
      <c r="F629" s="3">
        <v>55.4</v>
      </c>
      <c r="G629" s="3">
        <v>46.1</v>
      </c>
      <c r="H629" s="3">
        <v>47.0</v>
      </c>
      <c r="I629" s="3">
        <v>71.2</v>
      </c>
      <c r="J629" s="3">
        <v>51.0</v>
      </c>
      <c r="K629" s="3">
        <v>51.5</v>
      </c>
      <c r="L629" s="3">
        <v>53.8</v>
      </c>
      <c r="M629" s="12">
        <f>(PMI!$D629+PMI!$E629)/2</f>
        <v>55.65</v>
      </c>
      <c r="N629" s="12">
        <f>(PMI!$F629+PMI!$G629+PMI!$I629+PMI!$L629)/4</f>
        <v>56.625</v>
      </c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10">
        <v>36647.0</v>
      </c>
      <c r="B630" s="3">
        <v>53.2</v>
      </c>
      <c r="C630" s="3">
        <v>51.5</v>
      </c>
      <c r="D630" s="3">
        <v>56.4</v>
      </c>
      <c r="E630" s="3">
        <v>53.0</v>
      </c>
      <c r="F630" s="3">
        <v>55.4</v>
      </c>
      <c r="G630" s="3">
        <v>46.9</v>
      </c>
      <c r="H630" s="3">
        <v>50.5</v>
      </c>
      <c r="I630" s="3">
        <v>65.7</v>
      </c>
      <c r="J630" s="3">
        <v>49.0</v>
      </c>
      <c r="K630" s="3">
        <v>56.4</v>
      </c>
      <c r="L630" s="3">
        <v>54.2</v>
      </c>
      <c r="M630" s="12">
        <f>(PMI!$D630+PMI!$E630)/2</f>
        <v>54.7</v>
      </c>
      <c r="N630" s="12">
        <f>(PMI!$F630+PMI!$G630+PMI!$I630+PMI!$L630)/4</f>
        <v>55.55</v>
      </c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10">
        <v>36678.0</v>
      </c>
      <c r="B631" s="3">
        <v>51.4</v>
      </c>
      <c r="C631" s="3">
        <v>50.0</v>
      </c>
      <c r="D631" s="3">
        <v>53.4</v>
      </c>
      <c r="E631" s="3">
        <v>50.7</v>
      </c>
      <c r="F631" s="3">
        <v>54.5</v>
      </c>
      <c r="G631" s="3">
        <v>47.0</v>
      </c>
      <c r="H631" s="3">
        <v>47.0</v>
      </c>
      <c r="I631" s="3">
        <v>62.9</v>
      </c>
      <c r="J631" s="3">
        <v>48.5</v>
      </c>
      <c r="K631" s="3">
        <v>52.8</v>
      </c>
      <c r="L631" s="3">
        <v>55.7</v>
      </c>
      <c r="M631" s="12">
        <f>(PMI!$D631+PMI!$E631)/2</f>
        <v>52.05</v>
      </c>
      <c r="N631" s="12">
        <f>(PMI!$F631+PMI!$G631+PMI!$I631+PMI!$L631)/4</f>
        <v>55.025</v>
      </c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10">
        <v>36708.0</v>
      </c>
      <c r="B632" s="3">
        <v>52.5</v>
      </c>
      <c r="C632" s="3">
        <v>52.0</v>
      </c>
      <c r="D632" s="3">
        <v>53.7</v>
      </c>
      <c r="E632" s="3">
        <v>52.5</v>
      </c>
      <c r="F632" s="3">
        <v>53.9</v>
      </c>
      <c r="G632" s="3">
        <v>48.5</v>
      </c>
      <c r="H632" s="3">
        <v>49.5</v>
      </c>
      <c r="I632" s="3">
        <v>63.4</v>
      </c>
      <c r="J632" s="3">
        <v>45.0</v>
      </c>
      <c r="K632" s="3">
        <v>51.7</v>
      </c>
      <c r="L632" s="3">
        <v>50.8</v>
      </c>
      <c r="M632" s="12">
        <f>(PMI!$D632+PMI!$E632)/2</f>
        <v>53.1</v>
      </c>
      <c r="N632" s="12">
        <f>(PMI!$F632+PMI!$G632+PMI!$I632+PMI!$L632)/4</f>
        <v>54.15</v>
      </c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10">
        <v>36739.0</v>
      </c>
      <c r="B633" s="3">
        <v>49.9</v>
      </c>
      <c r="C633" s="3">
        <v>50.0</v>
      </c>
      <c r="D633" s="3">
        <v>49.7</v>
      </c>
      <c r="E633" s="3">
        <v>48.8</v>
      </c>
      <c r="F633" s="3">
        <v>53.5</v>
      </c>
      <c r="G633" s="3">
        <v>47.1</v>
      </c>
      <c r="H633" s="3">
        <v>50.5</v>
      </c>
      <c r="I633" s="3">
        <v>58.1</v>
      </c>
      <c r="J633" s="3">
        <v>49.0</v>
      </c>
      <c r="K633" s="3">
        <v>50.8</v>
      </c>
      <c r="L633" s="3">
        <v>52.2</v>
      </c>
      <c r="M633" s="12">
        <f>(PMI!$D633+PMI!$E633)/2</f>
        <v>49.25</v>
      </c>
      <c r="N633" s="12">
        <f>(PMI!$F633+PMI!$G633+PMI!$I633+PMI!$L633)/4</f>
        <v>52.725</v>
      </c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10">
        <v>36770.0</v>
      </c>
      <c r="B634" s="3">
        <v>49.7</v>
      </c>
      <c r="C634" s="3">
        <v>48.9</v>
      </c>
      <c r="D634" s="3">
        <v>51.5</v>
      </c>
      <c r="E634" s="3">
        <v>50.6</v>
      </c>
      <c r="F634" s="3">
        <v>49.6</v>
      </c>
      <c r="G634" s="3">
        <v>45.9</v>
      </c>
      <c r="H634" s="3">
        <v>48.5</v>
      </c>
      <c r="I634" s="3">
        <v>58.4</v>
      </c>
      <c r="J634" s="3">
        <v>47.0</v>
      </c>
      <c r="K634" s="3">
        <v>50.7</v>
      </c>
      <c r="L634" s="3">
        <v>48.9</v>
      </c>
      <c r="M634" s="12">
        <f>(PMI!$D634+PMI!$E634)/2</f>
        <v>51.05</v>
      </c>
      <c r="N634" s="12">
        <f>(PMI!$F634+PMI!$G634+PMI!$I634+PMI!$L634)/4</f>
        <v>50.7</v>
      </c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10">
        <v>36800.0</v>
      </c>
      <c r="B635" s="3">
        <v>48.7</v>
      </c>
      <c r="C635" s="3">
        <v>48.4</v>
      </c>
      <c r="D635" s="3">
        <v>49.3</v>
      </c>
      <c r="E635" s="3">
        <v>48.2</v>
      </c>
      <c r="F635" s="3">
        <v>51.1</v>
      </c>
      <c r="G635" s="3">
        <v>45.9</v>
      </c>
      <c r="H635" s="3">
        <v>50.5</v>
      </c>
      <c r="I635" s="3">
        <v>57.7</v>
      </c>
      <c r="J635" s="3">
        <v>41.0</v>
      </c>
      <c r="K635" s="3">
        <v>48.7</v>
      </c>
      <c r="L635" s="3">
        <v>52.4</v>
      </c>
      <c r="M635" s="12">
        <f>(PMI!$D635+PMI!$E635)/2</f>
        <v>48.75</v>
      </c>
      <c r="N635" s="12">
        <f>(PMI!$F635+PMI!$G635+PMI!$I635+PMI!$L635)/4</f>
        <v>51.775</v>
      </c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10">
        <v>36831.0</v>
      </c>
      <c r="B636" s="3">
        <v>48.5</v>
      </c>
      <c r="C636" s="3">
        <v>49.1</v>
      </c>
      <c r="D636" s="3">
        <v>50.1</v>
      </c>
      <c r="E636" s="3">
        <v>47.1</v>
      </c>
      <c r="F636" s="3">
        <v>50.3</v>
      </c>
      <c r="G636" s="3">
        <v>42.8</v>
      </c>
      <c r="H636" s="3">
        <v>51.5</v>
      </c>
      <c r="I636" s="3">
        <v>58.1</v>
      </c>
      <c r="J636" s="3">
        <v>42.0</v>
      </c>
      <c r="K636" s="3">
        <v>48.6</v>
      </c>
      <c r="L636" s="3">
        <v>53.2</v>
      </c>
      <c r="M636" s="12">
        <f>(PMI!$D636+PMI!$E636)/2</f>
        <v>48.6</v>
      </c>
      <c r="N636" s="12">
        <f>(PMI!$F636+PMI!$G636+PMI!$I636+PMI!$L636)/4</f>
        <v>51.1</v>
      </c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10">
        <v>36861.0</v>
      </c>
      <c r="B637" s="3">
        <v>43.9</v>
      </c>
      <c r="C637" s="3">
        <v>42.1</v>
      </c>
      <c r="D637" s="3">
        <v>42.9</v>
      </c>
      <c r="E637" s="3">
        <v>42.7</v>
      </c>
      <c r="F637" s="3">
        <v>52.8</v>
      </c>
      <c r="G637" s="3">
        <v>40.4</v>
      </c>
      <c r="H637" s="3">
        <v>51.0</v>
      </c>
      <c r="I637" s="3">
        <v>59.8</v>
      </c>
      <c r="J637" s="3">
        <v>36.0</v>
      </c>
      <c r="K637" s="3">
        <v>49.5</v>
      </c>
      <c r="L637" s="3">
        <v>51.2</v>
      </c>
      <c r="M637" s="12">
        <f>(PMI!$D637+PMI!$E637)/2</f>
        <v>42.8</v>
      </c>
      <c r="N637" s="12">
        <f>(PMI!$F637+PMI!$G637+PMI!$I637+PMI!$L637)/4</f>
        <v>51.05</v>
      </c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10">
        <v>36892.0</v>
      </c>
      <c r="B638" s="3">
        <v>42.3</v>
      </c>
      <c r="C638" s="3">
        <v>38.4</v>
      </c>
      <c r="D638" s="3">
        <v>39.2</v>
      </c>
      <c r="E638" s="3">
        <v>42.3</v>
      </c>
      <c r="F638" s="3">
        <v>49.8</v>
      </c>
      <c r="G638" s="3">
        <v>41.8</v>
      </c>
      <c r="H638" s="3">
        <v>56.0</v>
      </c>
      <c r="I638" s="3">
        <v>64.6</v>
      </c>
      <c r="J638" s="3">
        <v>32.5</v>
      </c>
      <c r="K638" s="3">
        <v>46.7</v>
      </c>
      <c r="L638" s="3">
        <v>49.1</v>
      </c>
      <c r="M638" s="12">
        <f>(PMI!$D638+PMI!$E638)/2</f>
        <v>40.75</v>
      </c>
      <c r="N638" s="12">
        <f>(PMI!$F638+PMI!$G638+PMI!$I638+PMI!$L638)/4</f>
        <v>51.325</v>
      </c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10">
        <v>36923.0</v>
      </c>
      <c r="B639" s="3">
        <v>42.1</v>
      </c>
      <c r="C639" s="3">
        <v>39.9</v>
      </c>
      <c r="D639" s="3">
        <v>38.6</v>
      </c>
      <c r="E639" s="3">
        <v>37.8</v>
      </c>
      <c r="F639" s="3">
        <v>50.2</v>
      </c>
      <c r="G639" s="3">
        <v>44.2</v>
      </c>
      <c r="H639" s="3">
        <v>52.5</v>
      </c>
      <c r="I639" s="3">
        <v>55.6</v>
      </c>
      <c r="J639" s="3">
        <v>37.0</v>
      </c>
      <c r="K639" s="3">
        <v>46.8</v>
      </c>
      <c r="L639" s="3">
        <v>47.5</v>
      </c>
      <c r="M639" s="12">
        <f>(PMI!$D639+PMI!$E639)/2</f>
        <v>38.2</v>
      </c>
      <c r="N639" s="12">
        <f>(PMI!$F639+PMI!$G639+PMI!$I639+PMI!$L639)/4</f>
        <v>49.375</v>
      </c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10">
        <v>36951.0</v>
      </c>
      <c r="B640" s="3">
        <v>43.1</v>
      </c>
      <c r="C640" s="3">
        <v>41.5</v>
      </c>
      <c r="D640" s="3">
        <v>42.6</v>
      </c>
      <c r="E640" s="3">
        <v>39.9</v>
      </c>
      <c r="F640" s="3">
        <v>47.7</v>
      </c>
      <c r="G640" s="3">
        <v>43.7</v>
      </c>
      <c r="H640" s="3">
        <v>52.0</v>
      </c>
      <c r="I640" s="3">
        <v>49.9</v>
      </c>
      <c r="J640" s="3">
        <v>43.5</v>
      </c>
      <c r="K640" s="3">
        <v>50.3</v>
      </c>
      <c r="L640" s="3">
        <v>48.8</v>
      </c>
      <c r="M640" s="12">
        <f>(PMI!$D640+PMI!$E640)/2</f>
        <v>41.25</v>
      </c>
      <c r="N640" s="12">
        <f>(PMI!$F640+PMI!$G640+PMI!$I640+PMI!$L640)/4</f>
        <v>47.525</v>
      </c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10">
        <v>36982.0</v>
      </c>
      <c r="B641" s="3">
        <v>42.7</v>
      </c>
      <c r="C641" s="3">
        <v>45.5</v>
      </c>
      <c r="D641" s="3">
        <v>43.1</v>
      </c>
      <c r="E641" s="3">
        <v>38.2</v>
      </c>
      <c r="F641" s="3">
        <v>47.2</v>
      </c>
      <c r="G641" s="3">
        <v>39.7</v>
      </c>
      <c r="H641" s="3">
        <v>50.0</v>
      </c>
      <c r="I641" s="3">
        <v>48.0</v>
      </c>
      <c r="J641" s="3">
        <v>43.5</v>
      </c>
      <c r="K641" s="3">
        <v>47.5</v>
      </c>
      <c r="L641" s="3">
        <v>47.2</v>
      </c>
      <c r="M641" s="12">
        <f>(PMI!$D641+PMI!$E641)/2</f>
        <v>40.65</v>
      </c>
      <c r="N641" s="12">
        <f>(PMI!$F641+PMI!$G641+PMI!$I641+PMI!$L641)/4</f>
        <v>45.525</v>
      </c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10">
        <v>37012.0</v>
      </c>
      <c r="B642" s="3">
        <v>41.3</v>
      </c>
      <c r="C642" s="3">
        <v>44.9</v>
      </c>
      <c r="D642" s="3">
        <v>43.1</v>
      </c>
      <c r="E642" s="3">
        <v>35.1</v>
      </c>
      <c r="F642" s="3">
        <v>45.4</v>
      </c>
      <c r="G642" s="3">
        <v>38.2</v>
      </c>
      <c r="H642" s="3">
        <v>51.0</v>
      </c>
      <c r="I642" s="3">
        <v>45.1</v>
      </c>
      <c r="J642" s="3">
        <v>40.0</v>
      </c>
      <c r="K642" s="3">
        <v>45.3</v>
      </c>
      <c r="L642" s="3">
        <v>46.9</v>
      </c>
      <c r="M642" s="12">
        <f>(PMI!$D642+PMI!$E642)/2</f>
        <v>39.1</v>
      </c>
      <c r="N642" s="12">
        <f>(PMI!$F642+PMI!$G642+PMI!$I642+PMI!$L642)/4</f>
        <v>43.9</v>
      </c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10">
        <v>37043.0</v>
      </c>
      <c r="B643" s="3">
        <v>43.2</v>
      </c>
      <c r="C643" s="3">
        <v>47.8</v>
      </c>
      <c r="D643" s="3">
        <v>45.3</v>
      </c>
      <c r="E643" s="3">
        <v>35.7</v>
      </c>
      <c r="F643" s="3">
        <v>47.1</v>
      </c>
      <c r="G643" s="3">
        <v>39.9</v>
      </c>
      <c r="H643" s="3">
        <v>48.0</v>
      </c>
      <c r="I643" s="3">
        <v>42.8</v>
      </c>
      <c r="J643" s="3">
        <v>42.0</v>
      </c>
      <c r="K643" s="3">
        <v>45.2</v>
      </c>
      <c r="L643" s="3">
        <v>47.0</v>
      </c>
      <c r="M643" s="12">
        <f>(PMI!$D643+PMI!$E643)/2</f>
        <v>40.5</v>
      </c>
      <c r="N643" s="12">
        <f>(PMI!$F643+PMI!$G643+PMI!$I643+PMI!$L643)/4</f>
        <v>44.2</v>
      </c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10">
        <v>37073.0</v>
      </c>
      <c r="B644" s="3">
        <v>43.5</v>
      </c>
      <c r="C644" s="3">
        <v>49.2</v>
      </c>
      <c r="D644" s="3">
        <v>47.0</v>
      </c>
      <c r="E644" s="3">
        <v>37.2</v>
      </c>
      <c r="F644" s="3">
        <v>46.8</v>
      </c>
      <c r="G644" s="3">
        <v>37.1</v>
      </c>
      <c r="H644" s="3">
        <v>45.0</v>
      </c>
      <c r="I644" s="3">
        <v>39.9</v>
      </c>
      <c r="J644" s="3">
        <v>42.5</v>
      </c>
      <c r="K644" s="3">
        <v>48.4</v>
      </c>
      <c r="L644" s="3">
        <v>47.2</v>
      </c>
      <c r="M644" s="12">
        <f>(PMI!$D644+PMI!$E644)/2</f>
        <v>42.1</v>
      </c>
      <c r="N644" s="12">
        <f>(PMI!$F644+PMI!$G644+PMI!$I644+PMI!$L644)/4</f>
        <v>42.75</v>
      </c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10">
        <v>37104.0</v>
      </c>
      <c r="B645" s="3">
        <v>46.3</v>
      </c>
      <c r="C645" s="3">
        <v>54.3</v>
      </c>
      <c r="D645" s="3">
        <v>51.8</v>
      </c>
      <c r="E645" s="3">
        <v>41.3</v>
      </c>
      <c r="F645" s="3">
        <v>46.7</v>
      </c>
      <c r="G645" s="3">
        <v>37.6</v>
      </c>
      <c r="H645" s="3">
        <v>48.5</v>
      </c>
      <c r="I645" s="3">
        <v>35.0</v>
      </c>
      <c r="J645" s="3">
        <v>44.5</v>
      </c>
      <c r="K645" s="3">
        <v>52.0</v>
      </c>
      <c r="L645" s="3">
        <v>50.0</v>
      </c>
      <c r="M645" s="12">
        <f>(PMI!$D645+PMI!$E645)/2</f>
        <v>46.55</v>
      </c>
      <c r="N645" s="12">
        <f>(PMI!$F645+PMI!$G645+PMI!$I645+PMI!$L645)/4</f>
        <v>42.325</v>
      </c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10">
        <v>37135.0</v>
      </c>
      <c r="B646" s="3">
        <v>46.2</v>
      </c>
      <c r="C646" s="3">
        <v>51.3</v>
      </c>
      <c r="D646" s="3">
        <v>51.8</v>
      </c>
      <c r="E646" s="3">
        <v>41.5</v>
      </c>
      <c r="F646" s="3">
        <v>47.5</v>
      </c>
      <c r="G646" s="3">
        <v>38.9</v>
      </c>
      <c r="H646" s="3">
        <v>48.5</v>
      </c>
      <c r="I646" s="3">
        <v>36.6</v>
      </c>
      <c r="J646" s="3">
        <v>43.0</v>
      </c>
      <c r="K646" s="3">
        <v>46.9</v>
      </c>
      <c r="L646" s="3">
        <v>49.7</v>
      </c>
      <c r="M646" s="12">
        <f>(PMI!$D646+PMI!$E646)/2</f>
        <v>46.65</v>
      </c>
      <c r="N646" s="12">
        <f>(PMI!$F646+PMI!$G646+PMI!$I646+PMI!$L646)/4</f>
        <v>43.175</v>
      </c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10">
        <v>37165.0</v>
      </c>
      <c r="B647" s="3">
        <v>40.8</v>
      </c>
      <c r="C647" s="3">
        <v>38.9</v>
      </c>
      <c r="D647" s="3">
        <v>41.8</v>
      </c>
      <c r="E647" s="3">
        <v>35.6</v>
      </c>
      <c r="F647" s="3">
        <v>49.5</v>
      </c>
      <c r="G647" s="3">
        <v>38.3</v>
      </c>
      <c r="H647" s="3">
        <v>44.5</v>
      </c>
      <c r="I647" s="3">
        <v>33.3</v>
      </c>
      <c r="J647" s="3">
        <v>36.0</v>
      </c>
      <c r="K647" s="3">
        <v>44.3</v>
      </c>
      <c r="L647" s="3">
        <v>47.6</v>
      </c>
      <c r="M647" s="12">
        <f>(PMI!$D647+PMI!$E647)/2</f>
        <v>38.7</v>
      </c>
      <c r="N647" s="12">
        <f>(PMI!$F647+PMI!$G647+PMI!$I647+PMI!$L647)/4</f>
        <v>42.175</v>
      </c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10">
        <v>37196.0</v>
      </c>
      <c r="B648" s="3">
        <v>44.1</v>
      </c>
      <c r="C648" s="3">
        <v>49.1</v>
      </c>
      <c r="D648" s="3">
        <v>46.9</v>
      </c>
      <c r="E648" s="3">
        <v>36.4</v>
      </c>
      <c r="F648" s="3">
        <v>49.1</v>
      </c>
      <c r="G648" s="3">
        <v>38.9</v>
      </c>
      <c r="H648" s="3">
        <v>44.5</v>
      </c>
      <c r="I648" s="3">
        <v>32.0</v>
      </c>
      <c r="J648" s="3">
        <v>38.5</v>
      </c>
      <c r="K648" s="3">
        <v>50.0</v>
      </c>
      <c r="L648" s="3">
        <v>49.5</v>
      </c>
      <c r="M648" s="12">
        <f>(PMI!$D648+PMI!$E648)/2</f>
        <v>41.65</v>
      </c>
      <c r="N648" s="12">
        <f>(PMI!$F648+PMI!$G648+PMI!$I648+PMI!$L648)/4</f>
        <v>42.375</v>
      </c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10">
        <v>37226.0</v>
      </c>
      <c r="B649" s="3">
        <v>45.3</v>
      </c>
      <c r="C649" s="3">
        <v>51.4</v>
      </c>
      <c r="D649" s="3">
        <v>49.2</v>
      </c>
      <c r="E649" s="3">
        <v>39.1</v>
      </c>
      <c r="F649" s="3">
        <v>49.3</v>
      </c>
      <c r="G649" s="3">
        <v>37.6</v>
      </c>
      <c r="H649" s="3">
        <v>44.0</v>
      </c>
      <c r="I649" s="3">
        <v>33.2</v>
      </c>
      <c r="J649" s="3">
        <v>39.5</v>
      </c>
      <c r="K649" s="3">
        <v>47.6</v>
      </c>
      <c r="L649" s="3">
        <v>50.2</v>
      </c>
      <c r="M649" s="12">
        <f>(PMI!$D649+PMI!$E649)/2</f>
        <v>44.15</v>
      </c>
      <c r="N649" s="12">
        <f>(PMI!$F649+PMI!$G649+PMI!$I649+PMI!$L649)/4</f>
        <v>42.575</v>
      </c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10">
        <v>37257.0</v>
      </c>
      <c r="B650" s="3">
        <v>47.5</v>
      </c>
      <c r="C650" s="3">
        <v>55.2</v>
      </c>
      <c r="D650" s="3">
        <v>51.1</v>
      </c>
      <c r="E650" s="3">
        <v>41.0</v>
      </c>
      <c r="F650" s="3">
        <v>51.2</v>
      </c>
      <c r="G650" s="3">
        <v>39.2</v>
      </c>
      <c r="H650" s="3">
        <v>43.5</v>
      </c>
      <c r="I650" s="3">
        <v>43.9</v>
      </c>
      <c r="J650" s="3">
        <v>44.5</v>
      </c>
      <c r="K650" s="3">
        <v>50.1</v>
      </c>
      <c r="L650" s="3">
        <v>51.3</v>
      </c>
      <c r="M650" s="12">
        <f>(PMI!$D650+PMI!$E650)/2</f>
        <v>46.05</v>
      </c>
      <c r="N650" s="12">
        <f>(PMI!$F650+PMI!$G650+PMI!$I650+PMI!$L650)/4</f>
        <v>46.4</v>
      </c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10">
        <v>37288.0</v>
      </c>
      <c r="B651" s="3">
        <v>50.7</v>
      </c>
      <c r="C651" s="3">
        <v>60.7</v>
      </c>
      <c r="D651" s="3">
        <v>58.1</v>
      </c>
      <c r="E651" s="3">
        <v>43.8</v>
      </c>
      <c r="F651" s="3">
        <v>51.4</v>
      </c>
      <c r="G651" s="3">
        <v>39.7</v>
      </c>
      <c r="H651" s="3">
        <v>41.5</v>
      </c>
      <c r="I651" s="3">
        <v>41.5</v>
      </c>
      <c r="J651" s="3">
        <v>53.0</v>
      </c>
      <c r="K651" s="3">
        <v>50.7</v>
      </c>
      <c r="L651" s="3">
        <v>52.4</v>
      </c>
      <c r="M651" s="12">
        <f>(PMI!$D651+PMI!$E651)/2</f>
        <v>50.95</v>
      </c>
      <c r="N651" s="12">
        <f>(PMI!$F651+PMI!$G651+PMI!$I651+PMI!$L651)/4</f>
        <v>46.25</v>
      </c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10">
        <v>37316.0</v>
      </c>
      <c r="B652" s="3">
        <v>52.4</v>
      </c>
      <c r="C652" s="3">
        <v>63.8</v>
      </c>
      <c r="D652" s="3">
        <v>58.3</v>
      </c>
      <c r="E652" s="3">
        <v>46.6</v>
      </c>
      <c r="F652" s="3">
        <v>51.9</v>
      </c>
      <c r="G652" s="3">
        <v>41.4</v>
      </c>
      <c r="H652" s="3">
        <v>40.0</v>
      </c>
      <c r="I652" s="3">
        <v>51.9</v>
      </c>
      <c r="J652" s="3">
        <v>62.5</v>
      </c>
      <c r="K652" s="3">
        <v>50.6</v>
      </c>
      <c r="L652" s="3">
        <v>53.9</v>
      </c>
      <c r="M652" s="12">
        <f>(PMI!$D652+PMI!$E652)/2</f>
        <v>52.45</v>
      </c>
      <c r="N652" s="12">
        <f>(PMI!$F652+PMI!$G652+PMI!$I652+PMI!$L652)/4</f>
        <v>49.775</v>
      </c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10">
        <v>37347.0</v>
      </c>
      <c r="B653" s="3">
        <v>52.4</v>
      </c>
      <c r="C653" s="3">
        <v>59.9</v>
      </c>
      <c r="D653" s="3">
        <v>59.1</v>
      </c>
      <c r="E653" s="3">
        <v>46.6</v>
      </c>
      <c r="F653" s="3">
        <v>53.5</v>
      </c>
      <c r="G653" s="3">
        <v>43.0</v>
      </c>
      <c r="H653" s="3">
        <v>40.5</v>
      </c>
      <c r="I653" s="3">
        <v>60.3</v>
      </c>
      <c r="J653" s="3">
        <v>56.0</v>
      </c>
      <c r="K653" s="3">
        <v>51.9</v>
      </c>
      <c r="L653" s="3">
        <v>55.5</v>
      </c>
      <c r="M653" s="12">
        <f>(PMI!$D653+PMI!$E653)/2</f>
        <v>52.85</v>
      </c>
      <c r="N653" s="12">
        <f>(PMI!$F653+PMI!$G653+PMI!$I653+PMI!$L653)/4</f>
        <v>53.075</v>
      </c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10">
        <v>37377.0</v>
      </c>
      <c r="B654" s="3">
        <v>53.1</v>
      </c>
      <c r="C654" s="3">
        <v>61.8</v>
      </c>
      <c r="D654" s="3">
        <v>59.4</v>
      </c>
      <c r="E654" s="3">
        <v>47.3</v>
      </c>
      <c r="F654" s="3">
        <v>53.4</v>
      </c>
      <c r="G654" s="3">
        <v>43.8</v>
      </c>
      <c r="H654" s="3">
        <v>39.0</v>
      </c>
      <c r="I654" s="3">
        <v>63.0</v>
      </c>
      <c r="J654" s="3">
        <v>56.5</v>
      </c>
      <c r="K654" s="3">
        <v>53.3</v>
      </c>
      <c r="L654" s="3">
        <v>53.9</v>
      </c>
      <c r="M654" s="12">
        <f>(PMI!$D654+PMI!$E654)/2</f>
        <v>53.35</v>
      </c>
      <c r="N654" s="12">
        <f>(PMI!$F654+PMI!$G654+PMI!$I654+PMI!$L654)/4</f>
        <v>53.525</v>
      </c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10">
        <v>37408.0</v>
      </c>
      <c r="B655" s="3">
        <v>53.6</v>
      </c>
      <c r="C655" s="3">
        <v>61.2</v>
      </c>
      <c r="D655" s="3">
        <v>61.1</v>
      </c>
      <c r="E655" s="3">
        <v>48.3</v>
      </c>
      <c r="F655" s="3">
        <v>54.4</v>
      </c>
      <c r="G655" s="3">
        <v>43.2</v>
      </c>
      <c r="H655" s="3">
        <v>44.5</v>
      </c>
      <c r="I655" s="3">
        <v>65.5</v>
      </c>
      <c r="J655" s="3">
        <v>53.5</v>
      </c>
      <c r="K655" s="3">
        <v>54.1</v>
      </c>
      <c r="L655" s="3">
        <v>53.8</v>
      </c>
      <c r="M655" s="12">
        <f>(PMI!$D655+PMI!$E655)/2</f>
        <v>54.7</v>
      </c>
      <c r="N655" s="12">
        <f>(PMI!$F655+PMI!$G655+PMI!$I655+PMI!$L655)/4</f>
        <v>54.225</v>
      </c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10">
        <v>37438.0</v>
      </c>
      <c r="B656" s="3">
        <v>50.2</v>
      </c>
      <c r="C656" s="3">
        <v>51.9</v>
      </c>
      <c r="D656" s="3">
        <v>56.6</v>
      </c>
      <c r="E656" s="3">
        <v>45.0</v>
      </c>
      <c r="F656" s="3">
        <v>54.8</v>
      </c>
      <c r="G656" s="3">
        <v>42.7</v>
      </c>
      <c r="H656" s="3">
        <v>42.5</v>
      </c>
      <c r="I656" s="3">
        <v>68.3</v>
      </c>
      <c r="J656" s="3">
        <v>45.5</v>
      </c>
      <c r="K656" s="3">
        <v>52.2</v>
      </c>
      <c r="L656" s="3">
        <v>53.2</v>
      </c>
      <c r="M656" s="12">
        <f>(PMI!$D656+PMI!$E656)/2</f>
        <v>50.8</v>
      </c>
      <c r="N656" s="12">
        <f>(PMI!$F656+PMI!$G656+PMI!$I656+PMI!$L656)/4</f>
        <v>54.75</v>
      </c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10">
        <v>37469.0</v>
      </c>
      <c r="B657" s="3">
        <v>50.3</v>
      </c>
      <c r="C657" s="3">
        <v>50.6</v>
      </c>
      <c r="D657" s="3">
        <v>54.9</v>
      </c>
      <c r="E657" s="3">
        <v>46.8</v>
      </c>
      <c r="F657" s="3">
        <v>53.6</v>
      </c>
      <c r="G657" s="3">
        <v>45.4</v>
      </c>
      <c r="H657" s="3">
        <v>42.5</v>
      </c>
      <c r="I657" s="3">
        <v>61.5</v>
      </c>
      <c r="J657" s="3">
        <v>45.0</v>
      </c>
      <c r="K657" s="3">
        <v>53.4</v>
      </c>
      <c r="L657" s="3">
        <v>52.6</v>
      </c>
      <c r="M657" s="12">
        <f>(PMI!$D657+PMI!$E657)/2</f>
        <v>50.85</v>
      </c>
      <c r="N657" s="12">
        <f>(PMI!$F657+PMI!$G657+PMI!$I657+PMI!$L657)/4</f>
        <v>53.275</v>
      </c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10">
        <v>37500.0</v>
      </c>
      <c r="B658" s="3">
        <v>50.5</v>
      </c>
      <c r="C658" s="3">
        <v>52.9</v>
      </c>
      <c r="D658" s="3">
        <v>53.5</v>
      </c>
      <c r="E658" s="3">
        <v>45.8</v>
      </c>
      <c r="F658" s="3">
        <v>56.7</v>
      </c>
      <c r="G658" s="3">
        <v>43.8</v>
      </c>
      <c r="H658" s="3">
        <v>40.5</v>
      </c>
      <c r="I658" s="3">
        <v>62.5</v>
      </c>
      <c r="J658" s="3">
        <v>44.5</v>
      </c>
      <c r="K658" s="3">
        <v>53.8</v>
      </c>
      <c r="L658" s="3">
        <v>54.7</v>
      </c>
      <c r="M658" s="12">
        <f>(PMI!$D658+PMI!$E658)/2</f>
        <v>49.65</v>
      </c>
      <c r="N658" s="12">
        <f>(PMI!$F658+PMI!$G658+PMI!$I658+PMI!$L658)/4</f>
        <v>54.425</v>
      </c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10">
        <v>37530.0</v>
      </c>
      <c r="B659" s="3">
        <v>49.0</v>
      </c>
      <c r="C659" s="3">
        <v>52.1</v>
      </c>
      <c r="D659" s="3">
        <v>51.3</v>
      </c>
      <c r="E659" s="3">
        <v>46.4</v>
      </c>
      <c r="F659" s="3">
        <v>53.4</v>
      </c>
      <c r="G659" s="3">
        <v>42.0</v>
      </c>
      <c r="H659" s="3">
        <v>42.5</v>
      </c>
      <c r="I659" s="3">
        <v>58.3</v>
      </c>
      <c r="J659" s="3">
        <v>43.5</v>
      </c>
      <c r="K659" s="3">
        <v>53.0</v>
      </c>
      <c r="L659" s="3">
        <v>51.2</v>
      </c>
      <c r="M659" s="12">
        <f>(PMI!$D659+PMI!$E659)/2</f>
        <v>48.85</v>
      </c>
      <c r="N659" s="12">
        <f>(PMI!$F659+PMI!$G659+PMI!$I659+PMI!$L659)/4</f>
        <v>51.225</v>
      </c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10">
        <v>37561.0</v>
      </c>
      <c r="B660" s="3">
        <v>48.5</v>
      </c>
      <c r="C660" s="3">
        <v>49.9</v>
      </c>
      <c r="D660" s="3">
        <v>52.7</v>
      </c>
      <c r="E660" s="3">
        <v>44.8</v>
      </c>
      <c r="F660" s="3">
        <v>52.1</v>
      </c>
      <c r="G660" s="3">
        <v>43.1</v>
      </c>
      <c r="H660" s="3">
        <v>46.5</v>
      </c>
      <c r="I660" s="3">
        <v>55.7</v>
      </c>
      <c r="J660" s="3">
        <v>42.5</v>
      </c>
      <c r="K660" s="3">
        <v>50.0</v>
      </c>
      <c r="L660" s="3">
        <v>52.4</v>
      </c>
      <c r="M660" s="12">
        <f>(PMI!$D660+PMI!$E660)/2</f>
        <v>48.75</v>
      </c>
      <c r="N660" s="12">
        <f>(PMI!$F660+PMI!$G660+PMI!$I660+PMI!$L660)/4</f>
        <v>50.825</v>
      </c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10">
        <v>37591.0</v>
      </c>
      <c r="B661" s="3">
        <v>51.6</v>
      </c>
      <c r="C661" s="3">
        <v>58.7</v>
      </c>
      <c r="D661" s="3">
        <v>53.9</v>
      </c>
      <c r="E661" s="3">
        <v>47.5</v>
      </c>
      <c r="F661" s="3">
        <v>52.9</v>
      </c>
      <c r="G661" s="3">
        <v>45.2</v>
      </c>
      <c r="H661" s="3">
        <v>43.0</v>
      </c>
      <c r="I661" s="3">
        <v>56.9</v>
      </c>
      <c r="J661" s="3">
        <v>46.5</v>
      </c>
      <c r="K661" s="3">
        <v>52.0</v>
      </c>
      <c r="L661" s="3">
        <v>55.1</v>
      </c>
      <c r="M661" s="12">
        <f>(PMI!$D661+PMI!$E661)/2</f>
        <v>50.7</v>
      </c>
      <c r="N661" s="12">
        <f>(PMI!$F661+PMI!$G661+PMI!$I661+PMI!$L661)/4</f>
        <v>52.525</v>
      </c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10">
        <v>37622.0</v>
      </c>
      <c r="B662" s="3">
        <v>51.3</v>
      </c>
      <c r="C662" s="3">
        <v>58.2</v>
      </c>
      <c r="D662" s="3">
        <v>54.1</v>
      </c>
      <c r="E662" s="3">
        <v>47.4</v>
      </c>
      <c r="F662" s="3">
        <v>52.8</v>
      </c>
      <c r="G662" s="3">
        <v>44.2</v>
      </c>
      <c r="H662" s="3">
        <v>42.5</v>
      </c>
      <c r="I662" s="3">
        <v>57.5</v>
      </c>
      <c r="J662" s="3">
        <v>45.0</v>
      </c>
      <c r="K662" s="3">
        <v>54.4</v>
      </c>
      <c r="L662" s="3">
        <v>58.6</v>
      </c>
      <c r="M662" s="12">
        <f>(PMI!$D662+PMI!$E662)/2</f>
        <v>50.75</v>
      </c>
      <c r="N662" s="12">
        <f>(PMI!$F662+PMI!$G662+PMI!$I662+PMI!$L662)/4</f>
        <v>53.275</v>
      </c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10">
        <v>37653.0</v>
      </c>
      <c r="B663" s="3">
        <v>48.8</v>
      </c>
      <c r="C663" s="3">
        <v>51.9</v>
      </c>
      <c r="D663" s="3">
        <v>53.6</v>
      </c>
      <c r="E663" s="3">
        <v>42.6</v>
      </c>
      <c r="F663" s="3">
        <v>52.8</v>
      </c>
      <c r="G663" s="3">
        <v>43.0</v>
      </c>
      <c r="H663" s="3">
        <v>46.0</v>
      </c>
      <c r="I663" s="3">
        <v>65.5</v>
      </c>
      <c r="J663" s="3">
        <v>49.0</v>
      </c>
      <c r="K663" s="3">
        <v>55.2</v>
      </c>
      <c r="L663" s="3">
        <v>54.6</v>
      </c>
      <c r="M663" s="12">
        <f>(PMI!$D663+PMI!$E663)/2</f>
        <v>48.1</v>
      </c>
      <c r="N663" s="12">
        <f>(PMI!$F663+PMI!$G663+PMI!$I663+PMI!$L663)/4</f>
        <v>53.975</v>
      </c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10">
        <v>37681.0</v>
      </c>
      <c r="B664" s="3">
        <v>46.3</v>
      </c>
      <c r="C664" s="3">
        <v>47.2</v>
      </c>
      <c r="D664" s="3">
        <v>47.0</v>
      </c>
      <c r="E664" s="3">
        <v>42.2</v>
      </c>
      <c r="F664" s="3">
        <v>52.6</v>
      </c>
      <c r="G664" s="3">
        <v>42.3</v>
      </c>
      <c r="H664" s="3">
        <v>42.0</v>
      </c>
      <c r="I664" s="3">
        <v>70.0</v>
      </c>
      <c r="J664" s="3">
        <v>41.5</v>
      </c>
      <c r="K664" s="3">
        <v>51.3</v>
      </c>
      <c r="L664" s="3">
        <v>53.3</v>
      </c>
      <c r="M664" s="12">
        <f>(PMI!$D664+PMI!$E664)/2</f>
        <v>44.6</v>
      </c>
      <c r="N664" s="12">
        <f>(PMI!$F664+PMI!$G664+PMI!$I664+PMI!$L664)/4</f>
        <v>54.55</v>
      </c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10">
        <v>37712.0</v>
      </c>
      <c r="B665" s="3">
        <v>46.1</v>
      </c>
      <c r="C665" s="3">
        <v>47.2</v>
      </c>
      <c r="D665" s="3">
        <v>48.5</v>
      </c>
      <c r="E665" s="3">
        <v>41.8</v>
      </c>
      <c r="F665" s="3">
        <v>49.9</v>
      </c>
      <c r="G665" s="3">
        <v>43.1</v>
      </c>
      <c r="H665" s="3">
        <v>44.5</v>
      </c>
      <c r="I665" s="3">
        <v>63.5</v>
      </c>
      <c r="J665" s="3">
        <v>47.5</v>
      </c>
      <c r="K665" s="3">
        <v>50.8</v>
      </c>
      <c r="L665" s="3">
        <v>54.8</v>
      </c>
      <c r="M665" s="12">
        <f>(PMI!$D665+PMI!$E665)/2</f>
        <v>45.15</v>
      </c>
      <c r="N665" s="12">
        <f>(PMI!$F665+PMI!$G665+PMI!$I665+PMI!$L665)/4</f>
        <v>52.825</v>
      </c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10">
        <v>37742.0</v>
      </c>
      <c r="B666" s="3">
        <v>49.0</v>
      </c>
      <c r="C666" s="3">
        <v>53.4</v>
      </c>
      <c r="D666" s="3">
        <v>52.9</v>
      </c>
      <c r="E666" s="3">
        <v>42.4</v>
      </c>
      <c r="F666" s="3">
        <v>50.6</v>
      </c>
      <c r="G666" s="3">
        <v>45.7</v>
      </c>
      <c r="H666" s="3">
        <v>45.0</v>
      </c>
      <c r="I666" s="3">
        <v>51.5</v>
      </c>
      <c r="J666" s="3">
        <v>51.0</v>
      </c>
      <c r="K666" s="3">
        <v>51.7</v>
      </c>
      <c r="L666" s="3">
        <v>52.2</v>
      </c>
      <c r="M666" s="12">
        <f>(PMI!$D666+PMI!$E666)/2</f>
        <v>47.65</v>
      </c>
      <c r="N666" s="12">
        <f>(PMI!$F666+PMI!$G666+PMI!$I666+PMI!$L666)/4</f>
        <v>50</v>
      </c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10">
        <v>37773.0</v>
      </c>
      <c r="B667" s="3">
        <v>49.0</v>
      </c>
      <c r="C667" s="3">
        <v>53.6</v>
      </c>
      <c r="D667" s="3">
        <v>54.1</v>
      </c>
      <c r="E667" s="3">
        <v>45.6</v>
      </c>
      <c r="F667" s="3">
        <v>49.8</v>
      </c>
      <c r="G667" s="3">
        <v>42.0</v>
      </c>
      <c r="H667" s="3">
        <v>45.5</v>
      </c>
      <c r="I667" s="3">
        <v>56.5</v>
      </c>
      <c r="J667" s="3">
        <v>50.0</v>
      </c>
      <c r="K667" s="3">
        <v>54.6</v>
      </c>
      <c r="L667" s="3">
        <v>55.9</v>
      </c>
      <c r="M667" s="12">
        <f>(PMI!$D667+PMI!$E667)/2</f>
        <v>49.85</v>
      </c>
      <c r="N667" s="12">
        <f>(PMI!$F667+PMI!$G667+PMI!$I667+PMI!$L667)/4</f>
        <v>51.05</v>
      </c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10">
        <v>37803.0</v>
      </c>
      <c r="B668" s="3">
        <v>51.0</v>
      </c>
      <c r="C668" s="3">
        <v>56.8</v>
      </c>
      <c r="D668" s="3">
        <v>53.9</v>
      </c>
      <c r="E668" s="3">
        <v>46.3</v>
      </c>
      <c r="F668" s="3">
        <v>51.5</v>
      </c>
      <c r="G668" s="3">
        <v>46.3</v>
      </c>
      <c r="H668" s="3">
        <v>42.5</v>
      </c>
      <c r="I668" s="3">
        <v>53.0</v>
      </c>
      <c r="J668" s="3">
        <v>51.0</v>
      </c>
      <c r="K668" s="3">
        <v>54.4</v>
      </c>
      <c r="L668" s="3">
        <v>54.9</v>
      </c>
      <c r="M668" s="12">
        <f>(PMI!$D668+PMI!$E668)/2</f>
        <v>50.1</v>
      </c>
      <c r="N668" s="12">
        <f>(PMI!$F668+PMI!$G668+PMI!$I668+PMI!$L668)/4</f>
        <v>51.425</v>
      </c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10">
        <v>37834.0</v>
      </c>
      <c r="B669" s="3">
        <v>53.2</v>
      </c>
      <c r="C669" s="3">
        <v>61.1</v>
      </c>
      <c r="D669" s="3">
        <v>61.8</v>
      </c>
      <c r="E669" s="3">
        <v>47.1</v>
      </c>
      <c r="F669" s="3">
        <v>53.0</v>
      </c>
      <c r="G669" s="3">
        <v>43.1</v>
      </c>
      <c r="H669" s="3">
        <v>43.0</v>
      </c>
      <c r="I669" s="3">
        <v>53.0</v>
      </c>
      <c r="J669" s="3">
        <v>51.5</v>
      </c>
      <c r="K669" s="3">
        <v>56.4</v>
      </c>
      <c r="L669" s="3">
        <v>55.2</v>
      </c>
      <c r="M669" s="12">
        <f>(PMI!$D669+PMI!$E669)/2</f>
        <v>54.45</v>
      </c>
      <c r="N669" s="12">
        <f>(PMI!$F669+PMI!$G669+PMI!$I669+PMI!$L669)/4</f>
        <v>51.075</v>
      </c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10">
        <v>37865.0</v>
      </c>
      <c r="B670" s="3">
        <v>52.4</v>
      </c>
      <c r="C670" s="3">
        <v>60.8</v>
      </c>
      <c r="D670" s="3">
        <v>57.8</v>
      </c>
      <c r="E670" s="3">
        <v>46.5</v>
      </c>
      <c r="F670" s="3">
        <v>53.4</v>
      </c>
      <c r="G670" s="3">
        <v>43.4</v>
      </c>
      <c r="H670" s="3">
        <v>44.5</v>
      </c>
      <c r="I670" s="3">
        <v>56.0</v>
      </c>
      <c r="J670" s="3">
        <v>52.5</v>
      </c>
      <c r="K670" s="3">
        <v>54.5</v>
      </c>
      <c r="L670" s="3">
        <v>61.4</v>
      </c>
      <c r="M670" s="12">
        <f>(PMI!$D670+PMI!$E670)/2</f>
        <v>52.15</v>
      </c>
      <c r="N670" s="12">
        <f>(PMI!$F670+PMI!$G670+PMI!$I670+PMI!$L670)/4</f>
        <v>53.55</v>
      </c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10">
        <v>37895.0</v>
      </c>
      <c r="B671" s="3">
        <v>55.2</v>
      </c>
      <c r="C671" s="3">
        <v>64.4</v>
      </c>
      <c r="D671" s="3">
        <v>62.8</v>
      </c>
      <c r="E671" s="3">
        <v>48.6</v>
      </c>
      <c r="F671" s="3">
        <v>54.6</v>
      </c>
      <c r="G671" s="3">
        <v>45.6</v>
      </c>
      <c r="H671" s="3">
        <v>39.0</v>
      </c>
      <c r="I671" s="3">
        <v>58.5</v>
      </c>
      <c r="J671" s="3">
        <v>53.5</v>
      </c>
      <c r="K671" s="3">
        <v>59.5</v>
      </c>
      <c r="L671" s="3">
        <v>59.2</v>
      </c>
      <c r="M671" s="12">
        <f>(PMI!$D671+PMI!$E671)/2</f>
        <v>55.7</v>
      </c>
      <c r="N671" s="12">
        <f>(PMI!$F671+PMI!$G671+PMI!$I671+PMI!$L671)/4</f>
        <v>54.475</v>
      </c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10">
        <v>37926.0</v>
      </c>
      <c r="B672" s="3">
        <v>58.4</v>
      </c>
      <c r="C672" s="3">
        <v>69.1</v>
      </c>
      <c r="D672" s="3">
        <v>66.6</v>
      </c>
      <c r="E672" s="3">
        <v>50.4</v>
      </c>
      <c r="F672" s="3">
        <v>56.4</v>
      </c>
      <c r="G672" s="3">
        <v>49.7</v>
      </c>
      <c r="H672" s="3">
        <v>39.5</v>
      </c>
      <c r="I672" s="3">
        <v>64.0</v>
      </c>
      <c r="J672" s="3">
        <v>59.0</v>
      </c>
      <c r="K672" s="3">
        <v>57.1</v>
      </c>
      <c r="L672" s="3">
        <v>61.4</v>
      </c>
      <c r="M672" s="12">
        <f>(PMI!$D672+PMI!$E672)/2</f>
        <v>58.5</v>
      </c>
      <c r="N672" s="12">
        <f>(PMI!$F672+PMI!$G672+PMI!$I672+PMI!$L672)/4</f>
        <v>57.875</v>
      </c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10">
        <v>37956.0</v>
      </c>
      <c r="B673" s="3">
        <v>60.1</v>
      </c>
      <c r="C673" s="3">
        <v>71.3</v>
      </c>
      <c r="D673" s="3">
        <v>70.0</v>
      </c>
      <c r="E673" s="3">
        <v>54.1</v>
      </c>
      <c r="F673" s="3">
        <v>59.3</v>
      </c>
      <c r="G673" s="3">
        <v>45.9</v>
      </c>
      <c r="H673" s="3">
        <v>39.0</v>
      </c>
      <c r="I673" s="3">
        <v>66.0</v>
      </c>
      <c r="J673" s="3">
        <v>61.0</v>
      </c>
      <c r="K673" s="3">
        <v>59.3</v>
      </c>
      <c r="L673" s="3">
        <v>57.8</v>
      </c>
      <c r="M673" s="12">
        <f>(PMI!$D673+PMI!$E673)/2</f>
        <v>62.05</v>
      </c>
      <c r="N673" s="12">
        <f>(PMI!$F673+PMI!$G673+PMI!$I673+PMI!$L673)/4</f>
        <v>57.25</v>
      </c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10">
        <v>37987.0</v>
      </c>
      <c r="B674" s="3">
        <v>60.8</v>
      </c>
      <c r="C674" s="3">
        <v>70.6</v>
      </c>
      <c r="D674" s="3">
        <v>69.3</v>
      </c>
      <c r="E674" s="3">
        <v>54.7</v>
      </c>
      <c r="F674" s="3">
        <v>61.5</v>
      </c>
      <c r="G674" s="3">
        <v>47.9</v>
      </c>
      <c r="H674" s="3">
        <v>40.0</v>
      </c>
      <c r="I674" s="3">
        <v>75.5</v>
      </c>
      <c r="J674" s="3">
        <v>60.5</v>
      </c>
      <c r="K674" s="3">
        <v>57.2</v>
      </c>
      <c r="L674" s="3">
        <v>59.2</v>
      </c>
      <c r="M674" s="12">
        <f>(PMI!$D674+PMI!$E674)/2</f>
        <v>62</v>
      </c>
      <c r="N674" s="12">
        <f>(PMI!$F674+PMI!$G674+PMI!$I674+PMI!$L674)/4</f>
        <v>61.025</v>
      </c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10">
        <v>38018.0</v>
      </c>
      <c r="B675" s="3">
        <v>59.9</v>
      </c>
      <c r="C675" s="3">
        <v>66.5</v>
      </c>
      <c r="D675" s="3">
        <v>65.6</v>
      </c>
      <c r="E675" s="3">
        <v>55.7</v>
      </c>
      <c r="F675" s="3">
        <v>62.9</v>
      </c>
      <c r="G675" s="3">
        <v>49.0</v>
      </c>
      <c r="H675" s="3">
        <v>38.5</v>
      </c>
      <c r="I675" s="3">
        <v>81.5</v>
      </c>
      <c r="J675" s="3">
        <v>62.0</v>
      </c>
      <c r="K675" s="3">
        <v>55.1</v>
      </c>
      <c r="L675" s="3">
        <v>59.9</v>
      </c>
      <c r="M675" s="12">
        <f>(PMI!$D675+PMI!$E675)/2</f>
        <v>60.65</v>
      </c>
      <c r="N675" s="12">
        <f>(PMI!$F675+PMI!$G675+PMI!$I675+PMI!$L675)/4</f>
        <v>63.325</v>
      </c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10">
        <v>38047.0</v>
      </c>
      <c r="B676" s="3">
        <v>60.6</v>
      </c>
      <c r="C676" s="3">
        <v>64.6</v>
      </c>
      <c r="D676" s="3">
        <v>66.8</v>
      </c>
      <c r="E676" s="3">
        <v>57.0</v>
      </c>
      <c r="F676" s="3">
        <v>66.7</v>
      </c>
      <c r="G676" s="3">
        <v>48.0</v>
      </c>
      <c r="H676" s="3">
        <v>39.5</v>
      </c>
      <c r="I676" s="3">
        <v>86.0</v>
      </c>
      <c r="J676" s="3">
        <v>63.5</v>
      </c>
      <c r="K676" s="3">
        <v>60.2</v>
      </c>
      <c r="L676" s="3">
        <v>57.1</v>
      </c>
      <c r="M676" s="12">
        <f>(PMI!$D676+PMI!$E676)/2</f>
        <v>61.9</v>
      </c>
      <c r="N676" s="12">
        <f>(PMI!$F676+PMI!$G676+PMI!$I676+PMI!$L676)/4</f>
        <v>64.45</v>
      </c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10">
        <v>38078.0</v>
      </c>
      <c r="B677" s="3">
        <v>60.6</v>
      </c>
      <c r="C677" s="3">
        <v>67.1</v>
      </c>
      <c r="D677" s="3">
        <v>66.6</v>
      </c>
      <c r="E677" s="3">
        <v>57.2</v>
      </c>
      <c r="F677" s="3">
        <v>66.7</v>
      </c>
      <c r="G677" s="3">
        <v>45.2</v>
      </c>
      <c r="H677" s="3">
        <v>40.5</v>
      </c>
      <c r="I677" s="3">
        <v>88.0</v>
      </c>
      <c r="J677" s="3">
        <v>66.5</v>
      </c>
      <c r="K677" s="3">
        <v>59.9</v>
      </c>
      <c r="L677" s="3">
        <v>58.7</v>
      </c>
      <c r="M677" s="12">
        <f>(PMI!$D677+PMI!$E677)/2</f>
        <v>61.9</v>
      </c>
      <c r="N677" s="12">
        <f>(PMI!$F677+PMI!$G677+PMI!$I677+PMI!$L677)/4</f>
        <v>64.65</v>
      </c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10">
        <v>38108.0</v>
      </c>
      <c r="B678" s="3">
        <v>61.4</v>
      </c>
      <c r="C678" s="3">
        <v>64.5</v>
      </c>
      <c r="D678" s="3">
        <v>65.3</v>
      </c>
      <c r="E678" s="3">
        <v>60.1</v>
      </c>
      <c r="F678" s="3">
        <v>68.3</v>
      </c>
      <c r="G678" s="3">
        <v>48.8</v>
      </c>
      <c r="H678" s="3">
        <v>37.0</v>
      </c>
      <c r="I678" s="3">
        <v>86.0</v>
      </c>
      <c r="J678" s="3">
        <v>63.0</v>
      </c>
      <c r="K678" s="3">
        <v>60.0</v>
      </c>
      <c r="L678" s="3">
        <v>58.8</v>
      </c>
      <c r="M678" s="12">
        <f>(PMI!$D678+PMI!$E678)/2</f>
        <v>62.7</v>
      </c>
      <c r="N678" s="12">
        <f>(PMI!$F678+PMI!$G678+PMI!$I678+PMI!$L678)/4</f>
        <v>65.475</v>
      </c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10">
        <v>38139.0</v>
      </c>
      <c r="B679" s="3">
        <v>60.5</v>
      </c>
      <c r="C679" s="3">
        <v>60.9</v>
      </c>
      <c r="D679" s="3">
        <v>63.7</v>
      </c>
      <c r="E679" s="3">
        <v>59.4</v>
      </c>
      <c r="F679" s="3">
        <v>67.1</v>
      </c>
      <c r="G679" s="3">
        <v>51.3</v>
      </c>
      <c r="H679" s="3">
        <v>39.0</v>
      </c>
      <c r="I679" s="3">
        <v>81.0</v>
      </c>
      <c r="J679" s="3">
        <v>58.5</v>
      </c>
      <c r="K679" s="3">
        <v>57.3</v>
      </c>
      <c r="L679" s="3">
        <v>57.5</v>
      </c>
      <c r="M679" s="12">
        <f>(PMI!$D679+PMI!$E679)/2</f>
        <v>61.55</v>
      </c>
      <c r="N679" s="12">
        <f>(PMI!$F679+PMI!$G679+PMI!$I679+PMI!$L679)/4</f>
        <v>64.225</v>
      </c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10">
        <v>38169.0</v>
      </c>
      <c r="B680" s="3">
        <v>59.9</v>
      </c>
      <c r="C680" s="3">
        <v>62.8</v>
      </c>
      <c r="D680" s="3">
        <v>63.8</v>
      </c>
      <c r="E680" s="3">
        <v>57.4</v>
      </c>
      <c r="F680" s="3">
        <v>64.5</v>
      </c>
      <c r="G680" s="3">
        <v>50.8</v>
      </c>
      <c r="H680" s="3">
        <v>37.5</v>
      </c>
      <c r="I680" s="3">
        <v>77.0</v>
      </c>
      <c r="J680" s="3">
        <v>58.0</v>
      </c>
      <c r="K680" s="3">
        <v>56.7</v>
      </c>
      <c r="L680" s="3">
        <v>58.8</v>
      </c>
      <c r="M680" s="12">
        <f>(PMI!$D680+PMI!$E680)/2</f>
        <v>60.6</v>
      </c>
      <c r="N680" s="12">
        <f>(PMI!$F680+PMI!$G680+PMI!$I680+PMI!$L680)/4</f>
        <v>62.775</v>
      </c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10">
        <v>38200.0</v>
      </c>
      <c r="B681" s="3">
        <v>58.5</v>
      </c>
      <c r="C681" s="3">
        <v>62.1</v>
      </c>
      <c r="D681" s="3">
        <v>59.3</v>
      </c>
      <c r="E681" s="3">
        <v>56.4</v>
      </c>
      <c r="F681" s="3">
        <v>62.8</v>
      </c>
      <c r="G681" s="3">
        <v>52.1</v>
      </c>
      <c r="H681" s="3">
        <v>45.5</v>
      </c>
      <c r="I681" s="3">
        <v>81.5</v>
      </c>
      <c r="J681" s="3">
        <v>55.0</v>
      </c>
      <c r="K681" s="3">
        <v>55.8</v>
      </c>
      <c r="L681" s="3">
        <v>58.3</v>
      </c>
      <c r="M681" s="12">
        <f>(PMI!$D681+PMI!$E681)/2</f>
        <v>57.85</v>
      </c>
      <c r="N681" s="12">
        <f>(PMI!$F681+PMI!$G681+PMI!$I681+PMI!$L681)/4</f>
        <v>63.675</v>
      </c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10">
        <v>38231.0</v>
      </c>
      <c r="B682" s="3">
        <v>57.4</v>
      </c>
      <c r="C682" s="3">
        <v>57.7</v>
      </c>
      <c r="D682" s="3">
        <v>59.8</v>
      </c>
      <c r="E682" s="3">
        <v>58.0</v>
      </c>
      <c r="F682" s="3">
        <v>59.8</v>
      </c>
      <c r="G682" s="3">
        <v>51.6</v>
      </c>
      <c r="H682" s="3">
        <v>41.5</v>
      </c>
      <c r="I682" s="3">
        <v>76.0</v>
      </c>
      <c r="J682" s="3">
        <v>55.0</v>
      </c>
      <c r="K682" s="3">
        <v>53.5</v>
      </c>
      <c r="L682" s="3">
        <v>58.2</v>
      </c>
      <c r="M682" s="12">
        <f>(PMI!$D682+PMI!$E682)/2</f>
        <v>58.9</v>
      </c>
      <c r="N682" s="12">
        <f>(PMI!$F682+PMI!$G682+PMI!$I682+PMI!$L682)/4</f>
        <v>61.4</v>
      </c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10">
        <v>38261.0</v>
      </c>
      <c r="B683" s="3">
        <v>56.3</v>
      </c>
      <c r="C683" s="3">
        <v>58.4</v>
      </c>
      <c r="D683" s="3">
        <v>59.3</v>
      </c>
      <c r="E683" s="3">
        <v>55.5</v>
      </c>
      <c r="F683" s="3">
        <v>59.2</v>
      </c>
      <c r="G683" s="3">
        <v>49.3</v>
      </c>
      <c r="H683" s="3">
        <v>43.5</v>
      </c>
      <c r="I683" s="3">
        <v>78.5</v>
      </c>
      <c r="J683" s="3">
        <v>49.0</v>
      </c>
      <c r="K683" s="3">
        <v>56.7</v>
      </c>
      <c r="L683" s="3">
        <v>59.2</v>
      </c>
      <c r="M683" s="12">
        <f>(PMI!$D683+PMI!$E683)/2</f>
        <v>57.4</v>
      </c>
      <c r="N683" s="12">
        <f>(PMI!$F683+PMI!$G683+PMI!$I683+PMI!$L683)/4</f>
        <v>61.55</v>
      </c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10">
        <v>38292.0</v>
      </c>
      <c r="B684" s="3">
        <v>56.2</v>
      </c>
      <c r="C684" s="3">
        <v>60.1</v>
      </c>
      <c r="D684" s="3">
        <v>57.3</v>
      </c>
      <c r="E684" s="3">
        <v>56.9</v>
      </c>
      <c r="F684" s="3">
        <v>56.8</v>
      </c>
      <c r="G684" s="3">
        <v>49.7</v>
      </c>
      <c r="H684" s="3">
        <v>43.5</v>
      </c>
      <c r="I684" s="3">
        <v>74.0</v>
      </c>
      <c r="J684" s="3">
        <v>47.5</v>
      </c>
      <c r="K684" s="3">
        <v>54.5</v>
      </c>
      <c r="L684" s="3">
        <v>58.8</v>
      </c>
      <c r="M684" s="12">
        <f>(PMI!$D684+PMI!$E684)/2</f>
        <v>57.1</v>
      </c>
      <c r="N684" s="12">
        <f>(PMI!$F684+PMI!$G684+PMI!$I684+PMI!$L684)/4</f>
        <v>59.825</v>
      </c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10">
        <v>38322.0</v>
      </c>
      <c r="B685" s="3">
        <v>57.2</v>
      </c>
      <c r="C685" s="3">
        <v>66.3</v>
      </c>
      <c r="D685" s="3">
        <v>57.9</v>
      </c>
      <c r="E685" s="3">
        <v>53.8</v>
      </c>
      <c r="F685" s="3">
        <v>55.3</v>
      </c>
      <c r="G685" s="3">
        <v>52.8</v>
      </c>
      <c r="H685" s="3">
        <v>44.0</v>
      </c>
      <c r="I685" s="3">
        <v>72.0</v>
      </c>
      <c r="J685" s="3">
        <v>54.0</v>
      </c>
      <c r="K685" s="3">
        <v>59.1</v>
      </c>
      <c r="L685" s="3">
        <v>60.8</v>
      </c>
      <c r="M685" s="12">
        <f>(PMI!$D685+PMI!$E685)/2</f>
        <v>55.85</v>
      </c>
      <c r="N685" s="12">
        <f>(PMI!$F685+PMI!$G685+PMI!$I685+PMI!$L685)/4</f>
        <v>60.225</v>
      </c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10">
        <v>38353.0</v>
      </c>
      <c r="B686" s="3">
        <v>56.8</v>
      </c>
      <c r="C686" s="3">
        <v>58.2</v>
      </c>
      <c r="D686" s="3">
        <v>59.1</v>
      </c>
      <c r="E686" s="3">
        <v>58.7</v>
      </c>
      <c r="F686" s="3">
        <v>54.1</v>
      </c>
      <c r="G686" s="3">
        <v>52.7</v>
      </c>
      <c r="H686" s="3">
        <v>44.5</v>
      </c>
      <c r="I686" s="3">
        <v>69.0</v>
      </c>
      <c r="J686" s="3">
        <v>50.5</v>
      </c>
      <c r="K686" s="3">
        <v>56.5</v>
      </c>
      <c r="L686" s="3">
        <v>61.1</v>
      </c>
      <c r="M686" s="12">
        <f>(PMI!$D686+PMI!$E686)/2</f>
        <v>58.9</v>
      </c>
      <c r="N686" s="12">
        <f>(PMI!$F686+PMI!$G686+PMI!$I686+PMI!$L686)/4</f>
        <v>59.225</v>
      </c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10">
        <v>38384.0</v>
      </c>
      <c r="B687" s="3">
        <v>55.5</v>
      </c>
      <c r="C687" s="3">
        <v>55.8</v>
      </c>
      <c r="D687" s="3">
        <v>58.2</v>
      </c>
      <c r="E687" s="3">
        <v>56.0</v>
      </c>
      <c r="F687" s="3">
        <v>54.7</v>
      </c>
      <c r="G687" s="3">
        <v>49.1</v>
      </c>
      <c r="H687" s="3">
        <v>42.5</v>
      </c>
      <c r="I687" s="3">
        <v>65.5</v>
      </c>
      <c r="J687" s="3">
        <v>50.5</v>
      </c>
      <c r="K687" s="3">
        <v>56.5</v>
      </c>
      <c r="L687" s="3">
        <v>60.7</v>
      </c>
      <c r="M687" s="12">
        <f>(PMI!$D687+PMI!$E687)/2</f>
        <v>57.1</v>
      </c>
      <c r="N687" s="12">
        <f>(PMI!$F687+PMI!$G687+PMI!$I687+PMI!$L687)/4</f>
        <v>57.5</v>
      </c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10">
        <v>38412.0</v>
      </c>
      <c r="B688" s="3">
        <v>55.2</v>
      </c>
      <c r="C688" s="3">
        <v>57.3</v>
      </c>
      <c r="D688" s="3">
        <v>57.4</v>
      </c>
      <c r="E688" s="3">
        <v>53.6</v>
      </c>
      <c r="F688" s="3">
        <v>53.1</v>
      </c>
      <c r="G688" s="3">
        <v>53.2</v>
      </c>
      <c r="H688" s="3">
        <v>46.0</v>
      </c>
      <c r="I688" s="3">
        <v>73.0</v>
      </c>
      <c r="J688" s="3">
        <v>56.0</v>
      </c>
      <c r="K688" s="3">
        <v>55.1</v>
      </c>
      <c r="L688" s="3">
        <v>58.9</v>
      </c>
      <c r="M688" s="12">
        <f>(PMI!$D688+PMI!$E688)/2</f>
        <v>55.5</v>
      </c>
      <c r="N688" s="12">
        <f>(PMI!$F688+PMI!$G688+PMI!$I688+PMI!$L688)/4</f>
        <v>59.55</v>
      </c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10">
        <v>38443.0</v>
      </c>
      <c r="B689" s="3">
        <v>52.2</v>
      </c>
      <c r="C689" s="3">
        <v>54.8</v>
      </c>
      <c r="D689" s="3">
        <v>56.4</v>
      </c>
      <c r="E689" s="3">
        <v>51.8</v>
      </c>
      <c r="F689" s="3">
        <v>51.7</v>
      </c>
      <c r="G689" s="3">
        <v>47.8</v>
      </c>
      <c r="H689" s="3">
        <v>41.5</v>
      </c>
      <c r="I689" s="3">
        <v>71.0</v>
      </c>
      <c r="J689" s="3">
        <v>53.0</v>
      </c>
      <c r="K689" s="3">
        <v>57.0</v>
      </c>
      <c r="L689" s="3">
        <v>56.7</v>
      </c>
      <c r="M689" s="12">
        <f>(PMI!$D689+PMI!$E689)/2</f>
        <v>54.1</v>
      </c>
      <c r="N689" s="12">
        <f>(PMI!$F689+PMI!$G689+PMI!$I689+PMI!$L689)/4</f>
        <v>56.8</v>
      </c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10">
        <v>38473.0</v>
      </c>
      <c r="B690" s="3">
        <v>50.8</v>
      </c>
      <c r="C690" s="3">
        <v>52.1</v>
      </c>
      <c r="D690" s="3">
        <v>54.7</v>
      </c>
      <c r="E690" s="3">
        <v>49.0</v>
      </c>
      <c r="F690" s="3">
        <v>50.8</v>
      </c>
      <c r="G690" s="3">
        <v>48.2</v>
      </c>
      <c r="H690" s="3">
        <v>47.5</v>
      </c>
      <c r="I690" s="3">
        <v>58.0</v>
      </c>
      <c r="J690" s="3">
        <v>51.0</v>
      </c>
      <c r="K690" s="3">
        <v>55.3</v>
      </c>
      <c r="L690" s="3">
        <v>53.9</v>
      </c>
      <c r="M690" s="12">
        <f>(PMI!$D690+PMI!$E690)/2</f>
        <v>51.85</v>
      </c>
      <c r="N690" s="12">
        <f>(PMI!$F690+PMI!$G690+PMI!$I690+PMI!$L690)/4</f>
        <v>52.725</v>
      </c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10">
        <v>38504.0</v>
      </c>
      <c r="B691" s="3">
        <v>52.4</v>
      </c>
      <c r="C691" s="3">
        <v>55.6</v>
      </c>
      <c r="D691" s="3">
        <v>55.3</v>
      </c>
      <c r="E691" s="3">
        <v>51.0</v>
      </c>
      <c r="F691" s="3">
        <v>53.1</v>
      </c>
      <c r="G691" s="3">
        <v>48.2</v>
      </c>
      <c r="H691" s="3">
        <v>44.0</v>
      </c>
      <c r="I691" s="3">
        <v>50.5</v>
      </c>
      <c r="J691" s="3">
        <v>51.0</v>
      </c>
      <c r="K691" s="3">
        <v>51.2</v>
      </c>
      <c r="L691" s="3">
        <v>54.2</v>
      </c>
      <c r="M691" s="12">
        <f>(PMI!$D691+PMI!$E691)/2</f>
        <v>53.15</v>
      </c>
      <c r="N691" s="12">
        <f>(PMI!$F691+PMI!$G691+PMI!$I691+PMI!$L691)/4</f>
        <v>51.5</v>
      </c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10">
        <v>38534.0</v>
      </c>
      <c r="B692" s="3">
        <v>52.8</v>
      </c>
      <c r="C692" s="3">
        <v>58.7</v>
      </c>
      <c r="D692" s="3">
        <v>58.8</v>
      </c>
      <c r="E692" s="3">
        <v>53.3</v>
      </c>
      <c r="F692" s="3">
        <v>52.0</v>
      </c>
      <c r="G692" s="3">
        <v>47.0</v>
      </c>
      <c r="H692" s="3">
        <v>44.5</v>
      </c>
      <c r="I692" s="3">
        <v>48.5</v>
      </c>
      <c r="J692" s="3">
        <v>49.0</v>
      </c>
      <c r="K692" s="3">
        <v>55.8</v>
      </c>
      <c r="L692" s="3">
        <v>54.7</v>
      </c>
      <c r="M692" s="12">
        <f>(PMI!$D692+PMI!$E692)/2</f>
        <v>56.05</v>
      </c>
      <c r="N692" s="12">
        <f>(PMI!$F692+PMI!$G692+PMI!$I692+PMI!$L692)/4</f>
        <v>50.55</v>
      </c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10">
        <v>38565.0</v>
      </c>
      <c r="B693" s="3">
        <v>52.4</v>
      </c>
      <c r="C693" s="3">
        <v>55.8</v>
      </c>
      <c r="D693" s="3">
        <v>54.3</v>
      </c>
      <c r="E693" s="3">
        <v>51.8</v>
      </c>
      <c r="F693" s="3">
        <v>50.5</v>
      </c>
      <c r="G693" s="3">
        <v>45.5</v>
      </c>
      <c r="H693" s="3">
        <v>46.5</v>
      </c>
      <c r="I693" s="3">
        <v>62.5</v>
      </c>
      <c r="J693" s="3">
        <v>50.5</v>
      </c>
      <c r="K693" s="3">
        <v>54.5</v>
      </c>
      <c r="L693" s="3">
        <v>53.4</v>
      </c>
      <c r="M693" s="12">
        <f>(PMI!$D693+PMI!$E693)/2</f>
        <v>53.05</v>
      </c>
      <c r="N693" s="12">
        <f>(PMI!$F693+PMI!$G693+PMI!$I693+PMI!$L693)/4</f>
        <v>52.975</v>
      </c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10">
        <v>38596.0</v>
      </c>
      <c r="B694" s="3">
        <v>56.8</v>
      </c>
      <c r="C694" s="3">
        <v>61.0</v>
      </c>
      <c r="D694" s="3">
        <v>60.2</v>
      </c>
      <c r="E694" s="3">
        <v>53.0</v>
      </c>
      <c r="F694" s="3">
        <v>58.2</v>
      </c>
      <c r="G694" s="3">
        <v>50.2</v>
      </c>
      <c r="H694" s="3">
        <v>44.5</v>
      </c>
      <c r="I694" s="3">
        <v>78.0</v>
      </c>
      <c r="J694" s="3">
        <v>55.0</v>
      </c>
      <c r="K694" s="3">
        <v>57.3</v>
      </c>
      <c r="L694" s="3">
        <v>53.4</v>
      </c>
      <c r="M694" s="12">
        <f>(PMI!$D694+PMI!$E694)/2</f>
        <v>56.6</v>
      </c>
      <c r="N694" s="12">
        <f>(PMI!$F694+PMI!$G694+PMI!$I694+PMI!$L694)/4</f>
        <v>59.95</v>
      </c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10">
        <v>38626.0</v>
      </c>
      <c r="B695" s="3">
        <v>57.2</v>
      </c>
      <c r="C695" s="3">
        <v>60.6</v>
      </c>
      <c r="D695" s="3">
        <v>61.9</v>
      </c>
      <c r="E695" s="3">
        <v>54.3</v>
      </c>
      <c r="F695" s="3">
        <v>61.2</v>
      </c>
      <c r="G695" s="3">
        <v>48.1</v>
      </c>
      <c r="H695" s="3">
        <v>41.0</v>
      </c>
      <c r="I695" s="3">
        <v>84.0</v>
      </c>
      <c r="J695" s="3">
        <v>55.5</v>
      </c>
      <c r="K695" s="3">
        <v>55.2</v>
      </c>
      <c r="L695" s="3">
        <v>58.2</v>
      </c>
      <c r="M695" s="12">
        <f>(PMI!$D695+PMI!$E695)/2</f>
        <v>58.1</v>
      </c>
      <c r="N695" s="12">
        <f>(PMI!$F695+PMI!$G695+PMI!$I695+PMI!$L695)/4</f>
        <v>62.875</v>
      </c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10">
        <v>38657.0</v>
      </c>
      <c r="B696" s="3">
        <v>56.7</v>
      </c>
      <c r="C696" s="3">
        <v>59.6</v>
      </c>
      <c r="D696" s="3">
        <v>61.0</v>
      </c>
      <c r="E696" s="3">
        <v>56.0</v>
      </c>
      <c r="F696" s="3">
        <v>57.1</v>
      </c>
      <c r="G696" s="3">
        <v>48.6</v>
      </c>
      <c r="H696" s="3">
        <v>43.5</v>
      </c>
      <c r="I696" s="3">
        <v>74.0</v>
      </c>
      <c r="J696" s="3">
        <v>53.0</v>
      </c>
      <c r="K696" s="3">
        <v>57.9</v>
      </c>
      <c r="L696" s="3">
        <v>54.1</v>
      </c>
      <c r="M696" s="12">
        <f>(PMI!$D696+PMI!$E696)/2</f>
        <v>58.5</v>
      </c>
      <c r="N696" s="12">
        <f>(PMI!$F696+PMI!$G696+PMI!$I696+PMI!$L696)/4</f>
        <v>58.45</v>
      </c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10">
        <v>38687.0</v>
      </c>
      <c r="B697" s="3">
        <v>55.1</v>
      </c>
      <c r="C697" s="3">
        <v>60.2</v>
      </c>
      <c r="D697" s="3">
        <v>60.3</v>
      </c>
      <c r="E697" s="3">
        <v>53.8</v>
      </c>
      <c r="F697" s="3">
        <v>52.7</v>
      </c>
      <c r="G697" s="3">
        <v>47.5</v>
      </c>
      <c r="H697" s="3">
        <v>48.0</v>
      </c>
      <c r="I697" s="3">
        <v>63.0</v>
      </c>
      <c r="J697" s="3">
        <v>49.5</v>
      </c>
      <c r="K697" s="3">
        <v>54.3</v>
      </c>
      <c r="L697" s="3">
        <v>52.8</v>
      </c>
      <c r="M697" s="12">
        <f>(PMI!$D697+PMI!$E697)/2</f>
        <v>57.05</v>
      </c>
      <c r="N697" s="12">
        <f>(PMI!$F697+PMI!$G697+PMI!$I697+PMI!$L697)/4</f>
        <v>54</v>
      </c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10">
        <v>38718.0</v>
      </c>
      <c r="B698" s="3">
        <v>55.0</v>
      </c>
      <c r="C698" s="3">
        <v>59.8</v>
      </c>
      <c r="D698" s="3">
        <v>58.8</v>
      </c>
      <c r="E698" s="3">
        <v>53.1</v>
      </c>
      <c r="F698" s="3">
        <v>55.3</v>
      </c>
      <c r="G698" s="3">
        <v>48.0</v>
      </c>
      <c r="H698" s="3">
        <v>46.0</v>
      </c>
      <c r="I698" s="3">
        <v>65.0</v>
      </c>
      <c r="J698" s="3">
        <v>53.5</v>
      </c>
      <c r="K698" s="3">
        <v>58.5</v>
      </c>
      <c r="L698" s="3">
        <v>57.0</v>
      </c>
      <c r="M698" s="12">
        <f>(PMI!$D698+PMI!$E698)/2</f>
        <v>55.95</v>
      </c>
      <c r="N698" s="12">
        <f>(PMI!$F698+PMI!$G698+PMI!$I698+PMI!$L698)/4</f>
        <v>56.325</v>
      </c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10">
        <v>38749.0</v>
      </c>
      <c r="B699" s="3">
        <v>55.8</v>
      </c>
      <c r="C699" s="3">
        <v>62.3</v>
      </c>
      <c r="D699" s="3">
        <v>58.4</v>
      </c>
      <c r="E699" s="3">
        <v>53.6</v>
      </c>
      <c r="F699" s="3">
        <v>53.1</v>
      </c>
      <c r="G699" s="3">
        <v>50.2</v>
      </c>
      <c r="H699" s="3">
        <v>48.5</v>
      </c>
      <c r="I699" s="3">
        <v>62.5</v>
      </c>
      <c r="J699" s="3">
        <v>54.5</v>
      </c>
      <c r="K699" s="3">
        <v>57.0</v>
      </c>
      <c r="L699" s="3">
        <v>57.5</v>
      </c>
      <c r="M699" s="12">
        <f>(PMI!$D699+PMI!$E699)/2</f>
        <v>56</v>
      </c>
      <c r="N699" s="12">
        <f>(PMI!$F699+PMI!$G699+PMI!$I699+PMI!$L699)/4</f>
        <v>55.825</v>
      </c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10">
        <v>38777.0</v>
      </c>
      <c r="B700" s="3">
        <v>54.3</v>
      </c>
      <c r="C700" s="3">
        <v>59.1</v>
      </c>
      <c r="D700" s="3">
        <v>58.4</v>
      </c>
      <c r="E700" s="3">
        <v>53.2</v>
      </c>
      <c r="F700" s="3">
        <v>53.9</v>
      </c>
      <c r="G700" s="3">
        <v>48.9</v>
      </c>
      <c r="H700" s="3">
        <v>48.0</v>
      </c>
      <c r="I700" s="3">
        <v>66.5</v>
      </c>
      <c r="J700" s="3">
        <v>59.5</v>
      </c>
      <c r="K700" s="3">
        <v>57.3</v>
      </c>
      <c r="L700" s="3">
        <v>57.0</v>
      </c>
      <c r="M700" s="12">
        <f>(PMI!$D700+PMI!$E700)/2</f>
        <v>55.8</v>
      </c>
      <c r="N700" s="12">
        <f>(PMI!$F700+PMI!$G700+PMI!$I700+PMI!$L700)/4</f>
        <v>56.575</v>
      </c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10">
        <v>38808.0</v>
      </c>
      <c r="B701" s="3">
        <v>55.2</v>
      </c>
      <c r="C701" s="3">
        <v>56.2</v>
      </c>
      <c r="D701" s="3">
        <v>59.7</v>
      </c>
      <c r="E701" s="3">
        <v>54.9</v>
      </c>
      <c r="F701" s="3">
        <v>58.0</v>
      </c>
      <c r="G701" s="3">
        <v>50.3</v>
      </c>
      <c r="H701" s="3">
        <v>46.5</v>
      </c>
      <c r="I701" s="3">
        <v>71.5</v>
      </c>
      <c r="J701" s="3">
        <v>57.0</v>
      </c>
      <c r="K701" s="3">
        <v>53.4</v>
      </c>
      <c r="L701" s="3">
        <v>59.0</v>
      </c>
      <c r="M701" s="12">
        <f>(PMI!$D701+PMI!$E701)/2</f>
        <v>57.3</v>
      </c>
      <c r="N701" s="12">
        <f>(PMI!$F701+PMI!$G701+PMI!$I701+PMI!$L701)/4</f>
        <v>59.7</v>
      </c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10">
        <v>38838.0</v>
      </c>
      <c r="B702" s="3">
        <v>53.7</v>
      </c>
      <c r="C702" s="3">
        <v>53.1</v>
      </c>
      <c r="D702" s="3">
        <v>56.1</v>
      </c>
      <c r="E702" s="3">
        <v>53.1</v>
      </c>
      <c r="F702" s="3">
        <v>57.1</v>
      </c>
      <c r="G702" s="3">
        <v>48.1</v>
      </c>
      <c r="H702" s="3">
        <v>44.0</v>
      </c>
      <c r="I702" s="3">
        <v>77.0</v>
      </c>
      <c r="J702" s="3">
        <v>53.0</v>
      </c>
      <c r="K702" s="3">
        <v>55.7</v>
      </c>
      <c r="L702" s="3">
        <v>56.5</v>
      </c>
      <c r="M702" s="12">
        <f>(PMI!$D702+PMI!$E702)/2</f>
        <v>54.6</v>
      </c>
      <c r="N702" s="12">
        <f>(PMI!$F702+PMI!$G702+PMI!$I702+PMI!$L702)/4</f>
        <v>59.675</v>
      </c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10">
        <v>38869.0</v>
      </c>
      <c r="B703" s="3">
        <v>52.0</v>
      </c>
      <c r="C703" s="3">
        <v>55.9</v>
      </c>
      <c r="D703" s="3">
        <v>53.3</v>
      </c>
      <c r="E703" s="3">
        <v>50.4</v>
      </c>
      <c r="F703" s="3">
        <v>55.0</v>
      </c>
      <c r="G703" s="3">
        <v>47.3</v>
      </c>
      <c r="H703" s="3">
        <v>45.5</v>
      </c>
      <c r="I703" s="3">
        <v>76.5</v>
      </c>
      <c r="J703" s="3">
        <v>54.0</v>
      </c>
      <c r="K703" s="3">
        <v>55.4</v>
      </c>
      <c r="L703" s="3">
        <v>56.5</v>
      </c>
      <c r="M703" s="12">
        <f>(PMI!$D703+PMI!$E703)/2</f>
        <v>51.85</v>
      </c>
      <c r="N703" s="12">
        <f>(PMI!$F703+PMI!$G703+PMI!$I703+PMI!$L703)/4</f>
        <v>58.825</v>
      </c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10">
        <v>38899.0</v>
      </c>
      <c r="B704" s="3">
        <v>53.0</v>
      </c>
      <c r="C704" s="3">
        <v>55.2</v>
      </c>
      <c r="D704" s="3">
        <v>56.2</v>
      </c>
      <c r="E704" s="3">
        <v>50.9</v>
      </c>
      <c r="F704" s="3">
        <v>54.5</v>
      </c>
      <c r="G704" s="3">
        <v>49.1</v>
      </c>
      <c r="H704" s="3">
        <v>44.5</v>
      </c>
      <c r="I704" s="3">
        <v>78.5</v>
      </c>
      <c r="J704" s="3">
        <v>50.5</v>
      </c>
      <c r="K704" s="3">
        <v>51.9</v>
      </c>
      <c r="L704" s="3">
        <v>57.5</v>
      </c>
      <c r="M704" s="12">
        <f>(PMI!$D704+PMI!$E704)/2</f>
        <v>53.55</v>
      </c>
      <c r="N704" s="12">
        <f>(PMI!$F704+PMI!$G704+PMI!$I704+PMI!$L704)/4</f>
        <v>59.9</v>
      </c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10">
        <v>38930.0</v>
      </c>
      <c r="B705" s="3">
        <v>53.7</v>
      </c>
      <c r="C705" s="3">
        <v>52.3</v>
      </c>
      <c r="D705" s="3">
        <v>54.1</v>
      </c>
      <c r="E705" s="3">
        <v>53.2</v>
      </c>
      <c r="F705" s="3">
        <v>54.8</v>
      </c>
      <c r="G705" s="3">
        <v>49.5</v>
      </c>
      <c r="H705" s="3">
        <v>46.0</v>
      </c>
      <c r="I705" s="3">
        <v>73.0</v>
      </c>
      <c r="J705" s="3">
        <v>51.5</v>
      </c>
      <c r="K705" s="3">
        <v>55.7</v>
      </c>
      <c r="L705" s="3">
        <v>54.0</v>
      </c>
      <c r="M705" s="12">
        <f>(PMI!$D705+PMI!$E705)/2</f>
        <v>53.65</v>
      </c>
      <c r="N705" s="12">
        <f>(PMI!$F705+PMI!$G705+PMI!$I705+PMI!$L705)/4</f>
        <v>57.825</v>
      </c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10">
        <v>38961.0</v>
      </c>
      <c r="B706" s="3">
        <v>52.2</v>
      </c>
      <c r="C706" s="3">
        <v>54.1</v>
      </c>
      <c r="D706" s="3">
        <v>56.0</v>
      </c>
      <c r="E706" s="3">
        <v>49.1</v>
      </c>
      <c r="F706" s="3">
        <v>52.9</v>
      </c>
      <c r="G706" s="3">
        <v>46.7</v>
      </c>
      <c r="H706" s="3">
        <v>49.0</v>
      </c>
      <c r="I706" s="3">
        <v>61.0</v>
      </c>
      <c r="J706" s="3">
        <v>46.5</v>
      </c>
      <c r="K706" s="3">
        <v>55.3</v>
      </c>
      <c r="L706" s="3">
        <v>56.0</v>
      </c>
      <c r="M706" s="12">
        <f>(PMI!$D706+PMI!$E706)/2</f>
        <v>52.55</v>
      </c>
      <c r="N706" s="12">
        <f>(PMI!$F706+PMI!$G706+PMI!$I706+PMI!$L706)/4</f>
        <v>54.15</v>
      </c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10">
        <v>38991.0</v>
      </c>
      <c r="B707" s="3">
        <v>51.4</v>
      </c>
      <c r="C707" s="3">
        <v>52.3</v>
      </c>
      <c r="D707" s="3">
        <v>52.0</v>
      </c>
      <c r="E707" s="3">
        <v>49.4</v>
      </c>
      <c r="F707" s="3">
        <v>50.7</v>
      </c>
      <c r="G707" s="3">
        <v>48.3</v>
      </c>
      <c r="H707" s="3">
        <v>52.0</v>
      </c>
      <c r="I707" s="3">
        <v>47.0</v>
      </c>
      <c r="J707" s="3">
        <v>44.5</v>
      </c>
      <c r="K707" s="3">
        <v>57.8</v>
      </c>
      <c r="L707" s="3">
        <v>57.0</v>
      </c>
      <c r="M707" s="12">
        <f>(PMI!$D707+PMI!$E707)/2</f>
        <v>50.7</v>
      </c>
      <c r="N707" s="12">
        <f>(PMI!$F707+PMI!$G707+PMI!$I707+PMI!$L707)/4</f>
        <v>50.75</v>
      </c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10">
        <v>39022.0</v>
      </c>
      <c r="B708" s="3">
        <v>50.3</v>
      </c>
      <c r="C708" s="3">
        <v>51.1</v>
      </c>
      <c r="D708" s="3">
        <v>49.7</v>
      </c>
      <c r="E708" s="3">
        <v>48.8</v>
      </c>
      <c r="F708" s="3">
        <v>52.7</v>
      </c>
      <c r="G708" s="3">
        <v>49.8</v>
      </c>
      <c r="H708" s="3">
        <v>50.5</v>
      </c>
      <c r="I708" s="3">
        <v>53.5</v>
      </c>
      <c r="J708" s="3">
        <v>46.5</v>
      </c>
      <c r="K708" s="3">
        <v>56.9</v>
      </c>
      <c r="L708" s="3">
        <v>56.5</v>
      </c>
      <c r="M708" s="12">
        <f>(PMI!$D708+PMI!$E708)/2</f>
        <v>49.25</v>
      </c>
      <c r="N708" s="12">
        <f>(PMI!$F708+PMI!$G708+PMI!$I708+PMI!$L708)/4</f>
        <v>53.125</v>
      </c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10">
        <v>39052.0</v>
      </c>
      <c r="B709" s="3">
        <v>51.4</v>
      </c>
      <c r="C709" s="3">
        <v>54.0</v>
      </c>
      <c r="D709" s="3">
        <v>54.1</v>
      </c>
      <c r="E709" s="3">
        <v>49.3</v>
      </c>
      <c r="F709" s="3">
        <v>53.3</v>
      </c>
      <c r="G709" s="3">
        <v>49.2</v>
      </c>
      <c r="H709" s="3">
        <v>50.5</v>
      </c>
      <c r="I709" s="3">
        <v>47.5</v>
      </c>
      <c r="J709" s="3">
        <v>45.0</v>
      </c>
      <c r="K709" s="3">
        <v>54.3</v>
      </c>
      <c r="L709" s="3">
        <v>55.5</v>
      </c>
      <c r="M709" s="12">
        <f>(PMI!$D709+PMI!$E709)/2</f>
        <v>51.7</v>
      </c>
      <c r="N709" s="12">
        <f>(PMI!$F709+PMI!$G709+PMI!$I709+PMI!$L709)/4</f>
        <v>51.375</v>
      </c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10">
        <v>39083.0</v>
      </c>
      <c r="B710" s="3">
        <v>49.5</v>
      </c>
      <c r="C710" s="3">
        <v>52.0</v>
      </c>
      <c r="D710" s="3">
        <v>50.5</v>
      </c>
      <c r="E710" s="3">
        <v>49.9</v>
      </c>
      <c r="F710" s="3">
        <v>52.8</v>
      </c>
      <c r="G710" s="3">
        <v>40.9</v>
      </c>
      <c r="H710" s="3">
        <v>52.0</v>
      </c>
      <c r="I710" s="3">
        <v>53.0</v>
      </c>
      <c r="J710" s="3">
        <v>43.5</v>
      </c>
      <c r="K710" s="3">
        <v>52.5</v>
      </c>
      <c r="L710" s="3">
        <v>54.5</v>
      </c>
      <c r="M710" s="12">
        <f>(PMI!$D710+PMI!$E710)/2</f>
        <v>50.2</v>
      </c>
      <c r="N710" s="12">
        <f>(PMI!$F710+PMI!$G710+PMI!$I710+PMI!$L710)/4</f>
        <v>50.3</v>
      </c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10">
        <v>39114.0</v>
      </c>
      <c r="B711" s="3">
        <v>51.9</v>
      </c>
      <c r="C711" s="3">
        <v>56.4</v>
      </c>
      <c r="D711" s="3">
        <v>54.4</v>
      </c>
      <c r="E711" s="3">
        <v>51.3</v>
      </c>
      <c r="F711" s="3">
        <v>52.0</v>
      </c>
      <c r="G711" s="3">
        <v>45.4</v>
      </c>
      <c r="H711" s="3">
        <v>53.0</v>
      </c>
      <c r="I711" s="3">
        <v>59.0</v>
      </c>
      <c r="J711" s="3">
        <v>51.5</v>
      </c>
      <c r="K711" s="3">
        <v>54.0</v>
      </c>
      <c r="L711" s="3">
        <v>61.5</v>
      </c>
      <c r="M711" s="12">
        <f>(PMI!$D711+PMI!$E711)/2</f>
        <v>52.85</v>
      </c>
      <c r="N711" s="12">
        <f>(PMI!$F711+PMI!$G711+PMI!$I711+PMI!$L711)/4</f>
        <v>54.475</v>
      </c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10">
        <v>39142.0</v>
      </c>
      <c r="B712" s="3">
        <v>50.7</v>
      </c>
      <c r="C712" s="3">
        <v>52.5</v>
      </c>
      <c r="D712" s="3">
        <v>54.1</v>
      </c>
      <c r="E712" s="3">
        <v>49.4</v>
      </c>
      <c r="F712" s="3">
        <v>52.0</v>
      </c>
      <c r="G712" s="3">
        <v>47.9</v>
      </c>
      <c r="H712" s="3">
        <v>48.0</v>
      </c>
      <c r="I712" s="3">
        <v>65.5</v>
      </c>
      <c r="J712" s="3">
        <v>47.0</v>
      </c>
      <c r="K712" s="3">
        <v>55.5</v>
      </c>
      <c r="L712" s="3">
        <v>57.5</v>
      </c>
      <c r="M712" s="12">
        <f>(PMI!$D712+PMI!$E712)/2</f>
        <v>51.75</v>
      </c>
      <c r="N712" s="12">
        <f>(PMI!$F712+PMI!$G712+PMI!$I712+PMI!$L712)/4</f>
        <v>55.725</v>
      </c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10">
        <v>39173.0</v>
      </c>
      <c r="B713" s="3">
        <v>52.6</v>
      </c>
      <c r="C713" s="3">
        <v>57.1</v>
      </c>
      <c r="D713" s="3">
        <v>57.4</v>
      </c>
      <c r="E713" s="3">
        <v>52.9</v>
      </c>
      <c r="F713" s="3">
        <v>51.1</v>
      </c>
      <c r="G713" s="3">
        <v>45.9</v>
      </c>
      <c r="H713" s="3">
        <v>47.0</v>
      </c>
      <c r="I713" s="3">
        <v>73.0</v>
      </c>
      <c r="J713" s="3">
        <v>54.5</v>
      </c>
      <c r="K713" s="3">
        <v>57.0</v>
      </c>
      <c r="L713" s="3">
        <v>58.0</v>
      </c>
      <c r="M713" s="12">
        <f>(PMI!$D713+PMI!$E713)/2</f>
        <v>55.15</v>
      </c>
      <c r="N713" s="12">
        <f>(PMI!$F713+PMI!$G713+PMI!$I713+PMI!$L713)/4</f>
        <v>57</v>
      </c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10">
        <v>39203.0</v>
      </c>
      <c r="B714" s="3">
        <v>52.5</v>
      </c>
      <c r="C714" s="3">
        <v>57.3</v>
      </c>
      <c r="D714" s="3">
        <v>57.0</v>
      </c>
      <c r="E714" s="3">
        <v>52.7</v>
      </c>
      <c r="F714" s="3">
        <v>50.3</v>
      </c>
      <c r="G714" s="3">
        <v>45.6</v>
      </c>
      <c r="H714" s="3">
        <v>48.0</v>
      </c>
      <c r="I714" s="3">
        <v>71.0</v>
      </c>
      <c r="J714" s="3">
        <v>52.5</v>
      </c>
      <c r="K714" s="3">
        <v>59.0</v>
      </c>
      <c r="L714" s="3">
        <v>57.5</v>
      </c>
      <c r="M714" s="12">
        <f>(PMI!$D714+PMI!$E714)/2</f>
        <v>54.85</v>
      </c>
      <c r="N714" s="12">
        <f>(PMI!$F714+PMI!$G714+PMI!$I714+PMI!$L714)/4</f>
        <v>56.1</v>
      </c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10">
        <v>39234.0</v>
      </c>
      <c r="B715" s="3">
        <v>52.6</v>
      </c>
      <c r="C715" s="3">
        <v>58.7</v>
      </c>
      <c r="D715" s="3">
        <v>60.5</v>
      </c>
      <c r="E715" s="3">
        <v>52.6</v>
      </c>
      <c r="F715" s="3">
        <v>49.5</v>
      </c>
      <c r="G715" s="3">
        <v>44.8</v>
      </c>
      <c r="H715" s="3">
        <v>47.0</v>
      </c>
      <c r="I715" s="3">
        <v>68.0</v>
      </c>
      <c r="J715" s="3">
        <v>53.5</v>
      </c>
      <c r="K715" s="3">
        <v>56.0</v>
      </c>
      <c r="L715" s="3">
        <v>54.5</v>
      </c>
      <c r="M715" s="12">
        <f>(PMI!$D715+PMI!$E715)/2</f>
        <v>56.55</v>
      </c>
      <c r="N715" s="12">
        <f>(PMI!$F715+PMI!$G715+PMI!$I715+PMI!$L715)/4</f>
        <v>54.2</v>
      </c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10">
        <v>39264.0</v>
      </c>
      <c r="B716" s="3">
        <v>52.4</v>
      </c>
      <c r="C716" s="3">
        <v>57.1</v>
      </c>
      <c r="D716" s="3">
        <v>55.1</v>
      </c>
      <c r="E716" s="3">
        <v>50.0</v>
      </c>
      <c r="F716" s="3">
        <v>50.8</v>
      </c>
      <c r="G716" s="3">
        <v>47.6</v>
      </c>
      <c r="H716" s="3">
        <v>51.0</v>
      </c>
      <c r="I716" s="3">
        <v>65.0</v>
      </c>
      <c r="J716" s="3">
        <v>52.0</v>
      </c>
      <c r="K716" s="3">
        <v>56.5</v>
      </c>
      <c r="L716" s="3">
        <v>54.5</v>
      </c>
      <c r="M716" s="12">
        <f>(PMI!$D716+PMI!$E716)/2</f>
        <v>52.55</v>
      </c>
      <c r="N716" s="12">
        <f>(PMI!$F716+PMI!$G716+PMI!$I716+PMI!$L716)/4</f>
        <v>54.475</v>
      </c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10">
        <v>39295.0</v>
      </c>
      <c r="B717" s="3">
        <v>50.9</v>
      </c>
      <c r="C717" s="3">
        <v>52.7</v>
      </c>
      <c r="D717" s="3">
        <v>54.5</v>
      </c>
      <c r="E717" s="3">
        <v>50.2</v>
      </c>
      <c r="F717" s="3">
        <v>49.9</v>
      </c>
      <c r="G717" s="3">
        <v>45.1</v>
      </c>
      <c r="H717" s="3">
        <v>49.0</v>
      </c>
      <c r="I717" s="3">
        <v>63.0</v>
      </c>
      <c r="J717" s="3">
        <v>50.5</v>
      </c>
      <c r="K717" s="3">
        <v>57.0</v>
      </c>
      <c r="L717" s="3">
        <v>52.5</v>
      </c>
      <c r="M717" s="12">
        <f>(PMI!$D717+PMI!$E717)/2</f>
        <v>52.35</v>
      </c>
      <c r="N717" s="12">
        <f>(PMI!$F717+PMI!$G717+PMI!$I717+PMI!$L717)/4</f>
        <v>52.625</v>
      </c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10">
        <v>39326.0</v>
      </c>
      <c r="B718" s="3">
        <v>51.0</v>
      </c>
      <c r="C718" s="3">
        <v>53.6</v>
      </c>
      <c r="D718" s="3">
        <v>56.0</v>
      </c>
      <c r="E718" s="3">
        <v>50.9</v>
      </c>
      <c r="F718" s="3">
        <v>50.3</v>
      </c>
      <c r="G718" s="3">
        <v>41.2</v>
      </c>
      <c r="H718" s="3">
        <v>50.0</v>
      </c>
      <c r="I718" s="3">
        <v>59.0</v>
      </c>
      <c r="J718" s="3">
        <v>51.0</v>
      </c>
      <c r="K718" s="3">
        <v>54.5</v>
      </c>
      <c r="L718" s="3">
        <v>53.0</v>
      </c>
      <c r="M718" s="12">
        <f>(PMI!$D718+PMI!$E718)/2</f>
        <v>53.45</v>
      </c>
      <c r="N718" s="12">
        <f>(PMI!$F718+PMI!$G718+PMI!$I718+PMI!$L718)/4</f>
        <v>50.875</v>
      </c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10">
        <v>39356.0</v>
      </c>
      <c r="B719" s="3">
        <v>51.1</v>
      </c>
      <c r="C719" s="3">
        <v>53.0</v>
      </c>
      <c r="D719" s="3">
        <v>49.0</v>
      </c>
      <c r="E719" s="3">
        <v>50.4</v>
      </c>
      <c r="F719" s="3">
        <v>50.6</v>
      </c>
      <c r="G719" s="3">
        <v>46.3</v>
      </c>
      <c r="H719" s="3">
        <v>54.0</v>
      </c>
      <c r="I719" s="3">
        <v>63.0</v>
      </c>
      <c r="J719" s="3">
        <v>46.0</v>
      </c>
      <c r="K719" s="3">
        <v>57.0</v>
      </c>
      <c r="L719" s="3">
        <v>47.5</v>
      </c>
      <c r="M719" s="12">
        <f>(PMI!$D719+PMI!$E719)/2</f>
        <v>49.7</v>
      </c>
      <c r="N719" s="12">
        <f>(PMI!$F719+PMI!$G719+PMI!$I719+PMI!$L719)/4</f>
        <v>51.85</v>
      </c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10">
        <v>39387.0</v>
      </c>
      <c r="B720" s="3">
        <v>50.5</v>
      </c>
      <c r="C720" s="3">
        <v>53.9</v>
      </c>
      <c r="D720" s="3">
        <v>52.4</v>
      </c>
      <c r="E720" s="3">
        <v>47.7</v>
      </c>
      <c r="F720" s="3">
        <v>51.6</v>
      </c>
      <c r="G720" s="3">
        <v>47.7</v>
      </c>
      <c r="H720" s="3">
        <v>49.0</v>
      </c>
      <c r="I720" s="3">
        <v>67.5</v>
      </c>
      <c r="J720" s="3">
        <v>41.5</v>
      </c>
      <c r="K720" s="3">
        <v>58.5</v>
      </c>
      <c r="L720" s="3">
        <v>47.5</v>
      </c>
      <c r="M720" s="12">
        <f>(PMI!$D720+PMI!$E720)/2</f>
        <v>50.05</v>
      </c>
      <c r="N720" s="12">
        <f>(PMI!$F720+PMI!$G720+PMI!$I720+PMI!$L720)/4</f>
        <v>53.575</v>
      </c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10">
        <v>39417.0</v>
      </c>
      <c r="B721" s="3">
        <v>49.0</v>
      </c>
      <c r="C721" s="3">
        <v>47.4</v>
      </c>
      <c r="D721" s="3">
        <v>48.8</v>
      </c>
      <c r="E721" s="3">
        <v>47.6</v>
      </c>
      <c r="F721" s="3">
        <v>53.4</v>
      </c>
      <c r="G721" s="3">
        <v>46.1</v>
      </c>
      <c r="H721" s="3">
        <v>51.5</v>
      </c>
      <c r="I721" s="3">
        <v>68.0</v>
      </c>
      <c r="J721" s="3">
        <v>43.0</v>
      </c>
      <c r="K721" s="3">
        <v>52.5</v>
      </c>
      <c r="L721" s="3">
        <v>48.0</v>
      </c>
      <c r="M721" s="12">
        <f>(PMI!$D721+PMI!$E721)/2</f>
        <v>48.2</v>
      </c>
      <c r="N721" s="12">
        <f>(PMI!$F721+PMI!$G721+PMI!$I721+PMI!$L721)/4</f>
        <v>53.875</v>
      </c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10">
        <v>39448.0</v>
      </c>
      <c r="B722" s="3">
        <v>50.3</v>
      </c>
      <c r="C722" s="3">
        <v>48.9</v>
      </c>
      <c r="D722" s="3">
        <v>53.7</v>
      </c>
      <c r="E722" s="3">
        <v>46.7</v>
      </c>
      <c r="F722" s="3">
        <v>53.6</v>
      </c>
      <c r="G722" s="3">
        <v>49.5</v>
      </c>
      <c r="H722" s="3">
        <v>49.5</v>
      </c>
      <c r="I722" s="3">
        <v>76.0</v>
      </c>
      <c r="J722" s="3">
        <v>44.0</v>
      </c>
      <c r="K722" s="3">
        <v>58.5</v>
      </c>
      <c r="L722" s="3">
        <v>52.5</v>
      </c>
      <c r="M722" s="12">
        <f>(PMI!$D722+PMI!$E722)/2</f>
        <v>50.2</v>
      </c>
      <c r="N722" s="12">
        <f>(PMI!$F722+PMI!$G722+PMI!$I722+PMI!$L722)/4</f>
        <v>57.9</v>
      </c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10">
        <v>39479.0</v>
      </c>
      <c r="B723" s="3">
        <v>47.6</v>
      </c>
      <c r="C723" s="3">
        <v>50.1</v>
      </c>
      <c r="D723" s="3">
        <v>50.5</v>
      </c>
      <c r="E723" s="3">
        <v>46.6</v>
      </c>
      <c r="F723" s="3">
        <v>51.1</v>
      </c>
      <c r="G723" s="3">
        <v>45.4</v>
      </c>
      <c r="H723" s="3">
        <v>49.0</v>
      </c>
      <c r="I723" s="3">
        <v>75.5</v>
      </c>
      <c r="J723" s="3">
        <v>45.0</v>
      </c>
      <c r="K723" s="3">
        <v>56.0</v>
      </c>
      <c r="L723" s="3">
        <v>47.5</v>
      </c>
      <c r="M723" s="12">
        <f>(PMI!$D723+PMI!$E723)/2</f>
        <v>48.55</v>
      </c>
      <c r="N723" s="12">
        <f>(PMI!$F723+PMI!$G723+PMI!$I723+PMI!$L723)/4</f>
        <v>54.875</v>
      </c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10">
        <v>39508.0</v>
      </c>
      <c r="B724" s="3">
        <v>48.3</v>
      </c>
      <c r="C724" s="3">
        <v>47.3</v>
      </c>
      <c r="D724" s="3">
        <v>48.8</v>
      </c>
      <c r="E724" s="3">
        <v>49.6</v>
      </c>
      <c r="F724" s="3">
        <v>54.4</v>
      </c>
      <c r="G724" s="3">
        <v>45.5</v>
      </c>
      <c r="H724" s="3">
        <v>51.0</v>
      </c>
      <c r="I724" s="3">
        <v>83.5</v>
      </c>
      <c r="J724" s="3">
        <v>47.5</v>
      </c>
      <c r="K724" s="3">
        <v>56.5</v>
      </c>
      <c r="L724" s="3">
        <v>45.0</v>
      </c>
      <c r="M724" s="12">
        <f>(PMI!$D724+PMI!$E724)/2</f>
        <v>49.2</v>
      </c>
      <c r="N724" s="12">
        <f>(PMI!$F724+PMI!$G724+PMI!$I724+PMI!$L724)/4</f>
        <v>57.1</v>
      </c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10">
        <v>39539.0</v>
      </c>
      <c r="B725" s="3">
        <v>48.8</v>
      </c>
      <c r="C725" s="3">
        <v>45.6</v>
      </c>
      <c r="D725" s="3">
        <v>49.9</v>
      </c>
      <c r="E725" s="3">
        <v>46.4</v>
      </c>
      <c r="F725" s="3">
        <v>54.9</v>
      </c>
      <c r="G725" s="3">
        <v>47.9</v>
      </c>
      <c r="H725" s="3">
        <v>45.0</v>
      </c>
      <c r="I725" s="3">
        <v>84.5</v>
      </c>
      <c r="J725" s="3">
        <v>51.5</v>
      </c>
      <c r="K725" s="3">
        <v>57.5</v>
      </c>
      <c r="L725" s="3">
        <v>48.0</v>
      </c>
      <c r="M725" s="12">
        <f>(PMI!$D725+PMI!$E725)/2</f>
        <v>48.15</v>
      </c>
      <c r="N725" s="12">
        <f>(PMI!$F725+PMI!$G725+PMI!$I725+PMI!$L725)/4</f>
        <v>58.825</v>
      </c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10">
        <v>39569.0</v>
      </c>
      <c r="B726" s="3">
        <v>48.8</v>
      </c>
      <c r="C726" s="3">
        <v>48.6</v>
      </c>
      <c r="D726" s="3">
        <v>51.3</v>
      </c>
      <c r="E726" s="3">
        <v>46.9</v>
      </c>
      <c r="F726" s="3">
        <v>53.4</v>
      </c>
      <c r="G726" s="3">
        <v>47.6</v>
      </c>
      <c r="H726" s="3">
        <v>47.0</v>
      </c>
      <c r="I726" s="3">
        <v>87.0</v>
      </c>
      <c r="J726" s="3">
        <v>46.0</v>
      </c>
      <c r="K726" s="3">
        <v>59.5</v>
      </c>
      <c r="L726" s="3">
        <v>49.5</v>
      </c>
      <c r="M726" s="12">
        <f>(PMI!$D726+PMI!$E726)/2</f>
        <v>49.1</v>
      </c>
      <c r="N726" s="12">
        <f>(PMI!$F726+PMI!$G726+PMI!$I726+PMI!$L726)/4</f>
        <v>59.375</v>
      </c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10">
        <v>39600.0</v>
      </c>
      <c r="B727" s="3">
        <v>49.8</v>
      </c>
      <c r="C727" s="3">
        <v>49.9</v>
      </c>
      <c r="D727" s="3">
        <v>50.3</v>
      </c>
      <c r="E727" s="3">
        <v>45.5</v>
      </c>
      <c r="F727" s="3">
        <v>54.4</v>
      </c>
      <c r="G727" s="3">
        <v>49.8</v>
      </c>
      <c r="H727" s="3">
        <v>55.0</v>
      </c>
      <c r="I727" s="3">
        <v>91.5</v>
      </c>
      <c r="J727" s="3">
        <v>47.5</v>
      </c>
      <c r="K727" s="3">
        <v>58.5</v>
      </c>
      <c r="L727" s="3">
        <v>46.0</v>
      </c>
      <c r="M727" s="12">
        <f>(PMI!$D727+PMI!$E727)/2</f>
        <v>47.9</v>
      </c>
      <c r="N727" s="12">
        <f>(PMI!$F727+PMI!$G727+PMI!$I727+PMI!$L727)/4</f>
        <v>60.425</v>
      </c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10">
        <v>39630.0</v>
      </c>
      <c r="B728" s="3">
        <v>50.0</v>
      </c>
      <c r="C728" s="3">
        <v>45.0</v>
      </c>
      <c r="D728" s="3">
        <v>53.0</v>
      </c>
      <c r="E728" s="3">
        <v>51.4</v>
      </c>
      <c r="F728" s="3">
        <v>53.8</v>
      </c>
      <c r="G728" s="3">
        <v>45.0</v>
      </c>
      <c r="H728" s="3">
        <v>47.0</v>
      </c>
      <c r="I728" s="3">
        <v>88.5</v>
      </c>
      <c r="J728" s="3">
        <v>43.0</v>
      </c>
      <c r="K728" s="3">
        <v>54.0</v>
      </c>
      <c r="L728" s="3">
        <v>46.5</v>
      </c>
      <c r="M728" s="12">
        <f>(PMI!$D728+PMI!$E728)/2</f>
        <v>52.2</v>
      </c>
      <c r="N728" s="12">
        <f>(PMI!$F728+PMI!$G728+PMI!$I728+PMI!$L728)/4</f>
        <v>58.45</v>
      </c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10">
        <v>39661.0</v>
      </c>
      <c r="B729" s="3">
        <v>49.2</v>
      </c>
      <c r="C729" s="3">
        <v>46.7</v>
      </c>
      <c r="D729" s="3">
        <v>51.9</v>
      </c>
      <c r="E729" s="3">
        <v>48.8</v>
      </c>
      <c r="F729" s="3">
        <v>49.8</v>
      </c>
      <c r="G729" s="3">
        <v>49.0</v>
      </c>
      <c r="H729" s="3">
        <v>54.5</v>
      </c>
      <c r="I729" s="3">
        <v>77.0</v>
      </c>
      <c r="J729" s="3">
        <v>43.5</v>
      </c>
      <c r="K729" s="3">
        <v>57.0</v>
      </c>
      <c r="L729" s="3">
        <v>48.5</v>
      </c>
      <c r="M729" s="12">
        <f>(PMI!$D729+PMI!$E729)/2</f>
        <v>50.35</v>
      </c>
      <c r="N729" s="12">
        <f>(PMI!$F729+PMI!$G729+PMI!$I729+PMI!$L729)/4</f>
        <v>56.075</v>
      </c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10">
        <v>39692.0</v>
      </c>
      <c r="B730" s="3">
        <v>44.8</v>
      </c>
      <c r="C730" s="3">
        <v>38.8</v>
      </c>
      <c r="D730" s="3">
        <v>42.4</v>
      </c>
      <c r="E730" s="3">
        <v>41.1</v>
      </c>
      <c r="F730" s="3">
        <v>50.9</v>
      </c>
      <c r="G730" s="3">
        <v>42.7</v>
      </c>
      <c r="H730" s="3">
        <v>53.5</v>
      </c>
      <c r="I730" s="3">
        <v>53.5</v>
      </c>
      <c r="J730" s="3">
        <v>35.0</v>
      </c>
      <c r="K730" s="3">
        <v>52.0</v>
      </c>
      <c r="L730" s="3">
        <v>44.0</v>
      </c>
      <c r="M730" s="12">
        <f>(PMI!$D730+PMI!$E730)/2</f>
        <v>41.75</v>
      </c>
      <c r="N730" s="12">
        <f>(PMI!$F730+PMI!$G730+PMI!$I730+PMI!$L730)/4</f>
        <v>47.775</v>
      </c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10">
        <v>39722.0</v>
      </c>
      <c r="B731" s="3">
        <v>38.9</v>
      </c>
      <c r="C731" s="3">
        <v>32.3</v>
      </c>
      <c r="D731" s="3">
        <v>33.1</v>
      </c>
      <c r="E731" s="3">
        <v>33.5</v>
      </c>
      <c r="F731" s="3">
        <v>49.0</v>
      </c>
      <c r="G731" s="3">
        <v>44.3</v>
      </c>
      <c r="H731" s="3">
        <v>55.0</v>
      </c>
      <c r="I731" s="3">
        <v>37.0</v>
      </c>
      <c r="J731" s="3">
        <v>29.5</v>
      </c>
      <c r="K731" s="3">
        <v>41.0</v>
      </c>
      <c r="L731" s="3">
        <v>41.0</v>
      </c>
      <c r="M731" s="12">
        <f>(PMI!$D731+PMI!$E731)/2</f>
        <v>33.3</v>
      </c>
      <c r="N731" s="12">
        <f>(PMI!$F731+PMI!$G731+PMI!$I731+PMI!$L731)/4</f>
        <v>42.825</v>
      </c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10">
        <v>39753.0</v>
      </c>
      <c r="B732" s="3">
        <v>36.5</v>
      </c>
      <c r="C732" s="3">
        <v>28.6</v>
      </c>
      <c r="D732" s="3">
        <v>32.2</v>
      </c>
      <c r="E732" s="3">
        <v>33.6</v>
      </c>
      <c r="F732" s="3">
        <v>48.6</v>
      </c>
      <c r="G732" s="3">
        <v>40.4</v>
      </c>
      <c r="H732" s="3">
        <v>55.0</v>
      </c>
      <c r="I732" s="3">
        <v>25.5</v>
      </c>
      <c r="J732" s="3">
        <v>27.0</v>
      </c>
      <c r="K732" s="3">
        <v>41.0</v>
      </c>
      <c r="L732" s="3">
        <v>37.5</v>
      </c>
      <c r="M732" s="12">
        <f>(PMI!$D732+PMI!$E732)/2</f>
        <v>32.9</v>
      </c>
      <c r="N732" s="12">
        <f>(PMI!$F732+PMI!$G732+PMI!$I732+PMI!$L732)/4</f>
        <v>38</v>
      </c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10">
        <v>39783.0</v>
      </c>
      <c r="B733" s="3">
        <v>33.1</v>
      </c>
      <c r="C733" s="3">
        <v>23.7</v>
      </c>
      <c r="D733" s="3">
        <v>26.3</v>
      </c>
      <c r="E733" s="3">
        <v>30.6</v>
      </c>
      <c r="F733" s="3">
        <v>46.4</v>
      </c>
      <c r="G733" s="3">
        <v>39.3</v>
      </c>
      <c r="H733" s="3">
        <v>57.0</v>
      </c>
      <c r="I733" s="3">
        <v>18.0</v>
      </c>
      <c r="J733" s="3">
        <v>23.0</v>
      </c>
      <c r="K733" s="3">
        <v>35.5</v>
      </c>
      <c r="L733" s="3">
        <v>39.0</v>
      </c>
      <c r="M733" s="12">
        <f>(PMI!$D733+PMI!$E733)/2</f>
        <v>28.45</v>
      </c>
      <c r="N733" s="12">
        <f>(PMI!$F733+PMI!$G733+PMI!$I733+PMI!$L733)/4</f>
        <v>35.675</v>
      </c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10">
        <v>39814.0</v>
      </c>
      <c r="B734" s="3">
        <v>34.9</v>
      </c>
      <c r="C734" s="3">
        <v>34.1</v>
      </c>
      <c r="D734" s="3">
        <v>30.7</v>
      </c>
      <c r="E734" s="3">
        <v>29.8</v>
      </c>
      <c r="F734" s="3">
        <v>45.6</v>
      </c>
      <c r="G734" s="3">
        <v>38.3</v>
      </c>
      <c r="H734" s="3">
        <v>55.5</v>
      </c>
      <c r="I734" s="3">
        <v>29.0</v>
      </c>
      <c r="J734" s="3">
        <v>29.5</v>
      </c>
      <c r="K734" s="3">
        <v>37.5</v>
      </c>
      <c r="L734" s="3">
        <v>36.5</v>
      </c>
      <c r="M734" s="12">
        <f>(PMI!$D734+PMI!$E734)/2</f>
        <v>30.25</v>
      </c>
      <c r="N734" s="12">
        <f>(PMI!$F734+PMI!$G734+PMI!$I734+PMI!$L734)/4</f>
        <v>37.35</v>
      </c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10">
        <v>39845.0</v>
      </c>
      <c r="B735" s="3">
        <v>35.5</v>
      </c>
      <c r="C735" s="3">
        <v>34.9</v>
      </c>
      <c r="D735" s="3">
        <v>35.9</v>
      </c>
      <c r="E735" s="3">
        <v>26.4</v>
      </c>
      <c r="F735" s="3">
        <v>45.9</v>
      </c>
      <c r="G735" s="3">
        <v>36.7</v>
      </c>
      <c r="H735" s="3">
        <v>51.0</v>
      </c>
      <c r="I735" s="3">
        <v>29.0</v>
      </c>
      <c r="J735" s="3">
        <v>31.0</v>
      </c>
      <c r="K735" s="3">
        <v>37.5</v>
      </c>
      <c r="L735" s="3">
        <v>32.0</v>
      </c>
      <c r="M735" s="12">
        <f>(PMI!$D735+PMI!$E735)/2</f>
        <v>31.15</v>
      </c>
      <c r="N735" s="12">
        <f>(PMI!$F735+PMI!$G735+PMI!$I735+PMI!$L735)/4</f>
        <v>35.9</v>
      </c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10">
        <v>39873.0</v>
      </c>
      <c r="B736" s="3">
        <v>36.0</v>
      </c>
      <c r="C736" s="3">
        <v>41.5</v>
      </c>
      <c r="D736" s="3">
        <v>37.1</v>
      </c>
      <c r="E736" s="3">
        <v>28.3</v>
      </c>
      <c r="F736" s="3">
        <v>43.9</v>
      </c>
      <c r="G736" s="3">
        <v>32.0</v>
      </c>
      <c r="H736" s="3">
        <v>54.0</v>
      </c>
      <c r="I736" s="3">
        <v>31.0</v>
      </c>
      <c r="J736" s="3">
        <v>35.5</v>
      </c>
      <c r="K736" s="3">
        <v>39.0</v>
      </c>
      <c r="L736" s="3">
        <v>33.0</v>
      </c>
      <c r="M736" s="12">
        <f>(PMI!$D736+PMI!$E736)/2</f>
        <v>32.7</v>
      </c>
      <c r="N736" s="12">
        <f>(PMI!$F736+PMI!$G736+PMI!$I736+PMI!$L736)/4</f>
        <v>34.975</v>
      </c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10">
        <v>39904.0</v>
      </c>
      <c r="B737" s="3">
        <v>39.5</v>
      </c>
      <c r="C737" s="3">
        <v>45.1</v>
      </c>
      <c r="D737" s="3">
        <v>40.7</v>
      </c>
      <c r="E737" s="3">
        <v>35.0</v>
      </c>
      <c r="F737" s="3">
        <v>44.9</v>
      </c>
      <c r="G737" s="3">
        <v>34.0</v>
      </c>
      <c r="H737" s="3">
        <v>49.5</v>
      </c>
      <c r="I737" s="3">
        <v>32.0</v>
      </c>
      <c r="J737" s="3">
        <v>40.5</v>
      </c>
      <c r="K737" s="3">
        <v>44.0</v>
      </c>
      <c r="L737" s="3">
        <v>42.0</v>
      </c>
      <c r="M737" s="12">
        <f>(PMI!$D737+PMI!$E737)/2</f>
        <v>37.85</v>
      </c>
      <c r="N737" s="12">
        <f>(PMI!$F737+PMI!$G737+PMI!$I737+PMI!$L737)/4</f>
        <v>38.225</v>
      </c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10">
        <v>39934.0</v>
      </c>
      <c r="B738" s="3">
        <v>41.7</v>
      </c>
      <c r="C738" s="3">
        <v>47.8</v>
      </c>
      <c r="D738" s="3">
        <v>45.0</v>
      </c>
      <c r="E738" s="3">
        <v>33.7</v>
      </c>
      <c r="F738" s="3">
        <v>49.9</v>
      </c>
      <c r="G738" s="3">
        <v>33.1</v>
      </c>
      <c r="H738" s="3">
        <v>46.0</v>
      </c>
      <c r="I738" s="3">
        <v>43.5</v>
      </c>
      <c r="J738" s="3">
        <v>48.0</v>
      </c>
      <c r="K738" s="3">
        <v>48.0</v>
      </c>
      <c r="L738" s="3">
        <v>42.5</v>
      </c>
      <c r="M738" s="12">
        <f>(PMI!$D738+PMI!$E738)/2</f>
        <v>39.35</v>
      </c>
      <c r="N738" s="12">
        <f>(PMI!$F738+PMI!$G738+PMI!$I738+PMI!$L738)/4</f>
        <v>42.25</v>
      </c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10">
        <v>39965.0</v>
      </c>
      <c r="B739" s="3">
        <v>45.8</v>
      </c>
      <c r="C739" s="3">
        <v>48.9</v>
      </c>
      <c r="D739" s="3">
        <v>51.8</v>
      </c>
      <c r="E739" s="3">
        <v>40.7</v>
      </c>
      <c r="F739" s="3">
        <v>50.8</v>
      </c>
      <c r="G739" s="3">
        <v>31.3</v>
      </c>
      <c r="H739" s="3">
        <v>43.5</v>
      </c>
      <c r="I739" s="3">
        <v>50.0</v>
      </c>
      <c r="J739" s="3">
        <v>47.5</v>
      </c>
      <c r="K739" s="3">
        <v>49.5</v>
      </c>
      <c r="L739" s="3">
        <v>46.0</v>
      </c>
      <c r="M739" s="12">
        <f>(PMI!$D739+PMI!$E739)/2</f>
        <v>46.25</v>
      </c>
      <c r="N739" s="12">
        <f>(PMI!$F739+PMI!$G739+PMI!$I739+PMI!$L739)/4</f>
        <v>44.525</v>
      </c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10">
        <v>39995.0</v>
      </c>
      <c r="B740" s="3">
        <v>49.9</v>
      </c>
      <c r="C740" s="3">
        <v>54.8</v>
      </c>
      <c r="D740" s="3">
        <v>59.6</v>
      </c>
      <c r="E740" s="3">
        <v>45.7</v>
      </c>
      <c r="F740" s="3">
        <v>51.4</v>
      </c>
      <c r="G740" s="3">
        <v>33.4</v>
      </c>
      <c r="H740" s="3">
        <v>42.5</v>
      </c>
      <c r="I740" s="3">
        <v>55.0</v>
      </c>
      <c r="J740" s="3">
        <v>50.0</v>
      </c>
      <c r="K740" s="3">
        <v>50.5</v>
      </c>
      <c r="L740" s="3">
        <v>50.0</v>
      </c>
      <c r="M740" s="12">
        <f>(PMI!$D740+PMI!$E740)/2</f>
        <v>52.65</v>
      </c>
      <c r="N740" s="12">
        <f>(PMI!$F740+PMI!$G740+PMI!$I740+PMI!$L740)/4</f>
        <v>47.45</v>
      </c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10">
        <v>40026.0</v>
      </c>
      <c r="B741" s="3">
        <v>53.5</v>
      </c>
      <c r="C741" s="3">
        <v>62.9</v>
      </c>
      <c r="D741" s="3">
        <v>59.4</v>
      </c>
      <c r="E741" s="3">
        <v>44.8</v>
      </c>
      <c r="F741" s="3">
        <v>55.6</v>
      </c>
      <c r="G741" s="3">
        <v>34.5</v>
      </c>
      <c r="H741" s="3">
        <v>39.0</v>
      </c>
      <c r="I741" s="3">
        <v>65.0</v>
      </c>
      <c r="J741" s="3">
        <v>52.5</v>
      </c>
      <c r="K741" s="3">
        <v>55.5</v>
      </c>
      <c r="L741" s="3">
        <v>49.5</v>
      </c>
      <c r="M741" s="12">
        <f>(PMI!$D741+PMI!$E741)/2</f>
        <v>52.1</v>
      </c>
      <c r="N741" s="12">
        <f>(PMI!$F741+PMI!$G741+PMI!$I741+PMI!$L741)/4</f>
        <v>51.15</v>
      </c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10">
        <v>40057.0</v>
      </c>
      <c r="B742" s="3">
        <v>54.4</v>
      </c>
      <c r="C742" s="3">
        <v>60.9</v>
      </c>
      <c r="D742" s="3">
        <v>58.8</v>
      </c>
      <c r="E742" s="3">
        <v>46.8</v>
      </c>
      <c r="F742" s="3">
        <v>58.2</v>
      </c>
      <c r="G742" s="3">
        <v>41.5</v>
      </c>
      <c r="H742" s="3">
        <v>39.0</v>
      </c>
      <c r="I742" s="3">
        <v>63.5</v>
      </c>
      <c r="J742" s="3">
        <v>53.5</v>
      </c>
      <c r="K742" s="3">
        <v>55.0</v>
      </c>
      <c r="L742" s="3">
        <v>52.0</v>
      </c>
      <c r="M742" s="12">
        <f>(PMI!$D742+PMI!$E742)/2</f>
        <v>52.8</v>
      </c>
      <c r="N742" s="12">
        <f>(PMI!$F742+PMI!$G742+PMI!$I742+PMI!$L742)/4</f>
        <v>53.8</v>
      </c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10">
        <v>40087.0</v>
      </c>
      <c r="B743" s="3">
        <v>56.0</v>
      </c>
      <c r="C743" s="3">
        <v>60.5</v>
      </c>
      <c r="D743" s="3">
        <v>61.9</v>
      </c>
      <c r="E743" s="3">
        <v>52.5</v>
      </c>
      <c r="F743" s="3">
        <v>57.5</v>
      </c>
      <c r="G743" s="3">
        <v>46.7</v>
      </c>
      <c r="H743" s="3">
        <v>38.5</v>
      </c>
      <c r="I743" s="3">
        <v>65.0</v>
      </c>
      <c r="J743" s="3">
        <v>53.5</v>
      </c>
      <c r="K743" s="3">
        <v>55.5</v>
      </c>
      <c r="L743" s="3">
        <v>51.0</v>
      </c>
      <c r="M743" s="12">
        <f>(PMI!$D743+PMI!$E743)/2</f>
        <v>57.2</v>
      </c>
      <c r="N743" s="12">
        <f>(PMI!$F743+PMI!$G743+PMI!$I743+PMI!$L743)/4</f>
        <v>55.05</v>
      </c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10">
        <v>40118.0</v>
      </c>
      <c r="B744" s="3">
        <v>54.4</v>
      </c>
      <c r="C744" s="3">
        <v>62.7</v>
      </c>
      <c r="D744" s="3">
        <v>62.9</v>
      </c>
      <c r="E744" s="3">
        <v>50.4</v>
      </c>
      <c r="F744" s="3">
        <v>56.4</v>
      </c>
      <c r="G744" s="3">
        <v>41.0</v>
      </c>
      <c r="H744" s="3">
        <v>37.0</v>
      </c>
      <c r="I744" s="3">
        <v>55.0</v>
      </c>
      <c r="J744" s="3">
        <v>52.0</v>
      </c>
      <c r="K744" s="3">
        <v>56.0</v>
      </c>
      <c r="L744" s="3">
        <v>51.5</v>
      </c>
      <c r="M744" s="12">
        <f>(PMI!$D744+PMI!$E744)/2</f>
        <v>56.65</v>
      </c>
      <c r="N744" s="12">
        <f>(PMI!$F744+PMI!$G744+PMI!$I744+PMI!$L744)/4</f>
        <v>50.975</v>
      </c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10">
        <v>40148.0</v>
      </c>
      <c r="B745" s="3">
        <v>55.3</v>
      </c>
      <c r="C745" s="3">
        <v>66.4</v>
      </c>
      <c r="D745" s="3">
        <v>61.8</v>
      </c>
      <c r="E745" s="3">
        <v>53.2</v>
      </c>
      <c r="F745" s="3">
        <v>57.5</v>
      </c>
      <c r="G745" s="3">
        <v>43.0</v>
      </c>
      <c r="H745" s="3">
        <v>35.0</v>
      </c>
      <c r="I745" s="3">
        <v>61.5</v>
      </c>
      <c r="J745" s="3">
        <v>50.0</v>
      </c>
      <c r="K745" s="3">
        <v>54.5</v>
      </c>
      <c r="L745" s="3">
        <v>55.0</v>
      </c>
      <c r="M745" s="12">
        <f>(PMI!$D745+PMI!$E745)/2</f>
        <v>57.5</v>
      </c>
      <c r="N745" s="12">
        <f>(PMI!$F745+PMI!$G745+PMI!$I745+PMI!$L745)/4</f>
        <v>54.25</v>
      </c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10">
        <v>40179.0</v>
      </c>
      <c r="B746" s="3">
        <v>57.2</v>
      </c>
      <c r="C746" s="3">
        <v>60.6</v>
      </c>
      <c r="D746" s="3">
        <v>63.0</v>
      </c>
      <c r="E746" s="3">
        <v>53.6</v>
      </c>
      <c r="F746" s="3">
        <v>60.3</v>
      </c>
      <c r="G746" s="3">
        <v>46.0</v>
      </c>
      <c r="H746" s="3">
        <v>32.0</v>
      </c>
      <c r="I746" s="3">
        <v>70.0</v>
      </c>
      <c r="J746" s="3">
        <v>56.0</v>
      </c>
      <c r="K746" s="3">
        <v>58.5</v>
      </c>
      <c r="L746" s="3">
        <v>56.5</v>
      </c>
      <c r="M746" s="12">
        <f>(PMI!$D746+PMI!$E746)/2</f>
        <v>58.3</v>
      </c>
      <c r="N746" s="12">
        <f>(PMI!$F746+PMI!$G746+PMI!$I746+PMI!$L746)/4</f>
        <v>58.2</v>
      </c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10">
        <v>40210.0</v>
      </c>
      <c r="B747" s="3">
        <v>55.8</v>
      </c>
      <c r="C747" s="3">
        <v>57.5</v>
      </c>
      <c r="D747" s="3">
        <v>57.2</v>
      </c>
      <c r="E747" s="3">
        <v>54.4</v>
      </c>
      <c r="F747" s="3">
        <v>60.8</v>
      </c>
      <c r="G747" s="3">
        <v>49.0</v>
      </c>
      <c r="H747" s="3">
        <v>37.0</v>
      </c>
      <c r="I747" s="3">
        <v>67.0</v>
      </c>
      <c r="J747" s="3">
        <v>61.0</v>
      </c>
      <c r="K747" s="3">
        <v>56.5</v>
      </c>
      <c r="L747" s="3">
        <v>56.0</v>
      </c>
      <c r="M747" s="12">
        <f>(PMI!$D747+PMI!$E747)/2</f>
        <v>55.8</v>
      </c>
      <c r="N747" s="12">
        <f>(PMI!$F747+PMI!$G747+PMI!$I747+PMI!$L747)/4</f>
        <v>58.2</v>
      </c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10">
        <v>40238.0</v>
      </c>
      <c r="B748" s="3">
        <v>58.8</v>
      </c>
      <c r="C748" s="3">
        <v>61.4</v>
      </c>
      <c r="D748" s="3">
        <v>62.1</v>
      </c>
      <c r="E748" s="3">
        <v>55.3</v>
      </c>
      <c r="F748" s="3">
        <v>61.2</v>
      </c>
      <c r="G748" s="3">
        <v>56.5</v>
      </c>
      <c r="H748" s="3">
        <v>39.0</v>
      </c>
      <c r="I748" s="3">
        <v>75.0</v>
      </c>
      <c r="J748" s="3">
        <v>58.0</v>
      </c>
      <c r="K748" s="3">
        <v>61.5</v>
      </c>
      <c r="L748" s="3">
        <v>57.0</v>
      </c>
      <c r="M748" s="12">
        <f>(PMI!$D748+PMI!$E748)/2</f>
        <v>58.7</v>
      </c>
      <c r="N748" s="12">
        <f>(PMI!$F748+PMI!$G748+PMI!$I748+PMI!$L748)/4</f>
        <v>62.425</v>
      </c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10">
        <v>40269.0</v>
      </c>
      <c r="B749" s="3">
        <v>58.1</v>
      </c>
      <c r="C749" s="3">
        <v>64.5</v>
      </c>
      <c r="D749" s="3">
        <v>64.1</v>
      </c>
      <c r="E749" s="3">
        <v>56.4</v>
      </c>
      <c r="F749" s="3">
        <v>59.4</v>
      </c>
      <c r="G749" s="3">
        <v>50.5</v>
      </c>
      <c r="H749" s="3">
        <v>33.0</v>
      </c>
      <c r="I749" s="3">
        <v>78.0</v>
      </c>
      <c r="J749" s="3">
        <v>57.5</v>
      </c>
      <c r="K749" s="3">
        <v>61.0</v>
      </c>
      <c r="L749" s="3">
        <v>58.0</v>
      </c>
      <c r="M749" s="12">
        <f>(PMI!$D749+PMI!$E749)/2</f>
        <v>60.25</v>
      </c>
      <c r="N749" s="12">
        <f>(PMI!$F749+PMI!$G749+PMI!$I749+PMI!$L749)/4</f>
        <v>61.475</v>
      </c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10">
        <v>40299.0</v>
      </c>
      <c r="B750" s="3">
        <v>58.3</v>
      </c>
      <c r="C750" s="3">
        <v>66.1</v>
      </c>
      <c r="D750" s="3">
        <v>64.3</v>
      </c>
      <c r="E750" s="3">
        <v>58.2</v>
      </c>
      <c r="F750" s="3">
        <v>59.3</v>
      </c>
      <c r="G750" s="3">
        <v>46.0</v>
      </c>
      <c r="H750" s="3">
        <v>32.0</v>
      </c>
      <c r="I750" s="3">
        <v>77.5</v>
      </c>
      <c r="J750" s="3">
        <v>59.5</v>
      </c>
      <c r="K750" s="3">
        <v>62.0</v>
      </c>
      <c r="L750" s="3">
        <v>56.5</v>
      </c>
      <c r="M750" s="12">
        <f>(PMI!$D750+PMI!$E750)/2</f>
        <v>61.25</v>
      </c>
      <c r="N750" s="12">
        <f>(PMI!$F750+PMI!$G750+PMI!$I750+PMI!$L750)/4</f>
        <v>59.825</v>
      </c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10">
        <v>40330.0</v>
      </c>
      <c r="B751" s="3">
        <v>56.4</v>
      </c>
      <c r="C751" s="3">
        <v>59.3</v>
      </c>
      <c r="D751" s="3">
        <v>61.2</v>
      </c>
      <c r="E751" s="3">
        <v>56.6</v>
      </c>
      <c r="F751" s="3">
        <v>56.7</v>
      </c>
      <c r="G751" s="3">
        <v>46.0</v>
      </c>
      <c r="H751" s="3">
        <v>38.0</v>
      </c>
      <c r="I751" s="3">
        <v>57.0</v>
      </c>
      <c r="J751" s="3">
        <v>57.0</v>
      </c>
      <c r="K751" s="3">
        <v>56.0</v>
      </c>
      <c r="L751" s="3">
        <v>56.5</v>
      </c>
      <c r="M751" s="12">
        <f>(PMI!$D751+PMI!$E751)/2</f>
        <v>58.9</v>
      </c>
      <c r="N751" s="12">
        <f>(PMI!$F751+PMI!$G751+PMI!$I751+PMI!$L751)/4</f>
        <v>54.05</v>
      </c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10">
        <v>40360.0</v>
      </c>
      <c r="B752" s="3">
        <v>56.4</v>
      </c>
      <c r="C752" s="3">
        <v>54.9</v>
      </c>
      <c r="D752" s="3">
        <v>57.9</v>
      </c>
      <c r="E752" s="3">
        <v>58.7</v>
      </c>
      <c r="F752" s="3">
        <v>58.1</v>
      </c>
      <c r="G752" s="3">
        <v>49.0</v>
      </c>
      <c r="H752" s="3">
        <v>39.0</v>
      </c>
      <c r="I752" s="3">
        <v>57.5</v>
      </c>
      <c r="J752" s="3">
        <v>54.5</v>
      </c>
      <c r="K752" s="3">
        <v>56.5</v>
      </c>
      <c r="L752" s="3">
        <v>52.5</v>
      </c>
      <c r="M752" s="12">
        <f>(PMI!$D752+PMI!$E752)/2</f>
        <v>58.3</v>
      </c>
      <c r="N752" s="12">
        <f>(PMI!$F752+PMI!$G752+PMI!$I752+PMI!$L752)/4</f>
        <v>54.275</v>
      </c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10">
        <v>40391.0</v>
      </c>
      <c r="B753" s="3">
        <v>58.0</v>
      </c>
      <c r="C753" s="3">
        <v>55.6</v>
      </c>
      <c r="D753" s="3">
        <v>61.2</v>
      </c>
      <c r="E753" s="3">
        <v>60.7</v>
      </c>
      <c r="F753" s="3">
        <v>56.4</v>
      </c>
      <c r="G753" s="3">
        <v>53.0</v>
      </c>
      <c r="H753" s="3">
        <v>43.5</v>
      </c>
      <c r="I753" s="3">
        <v>61.5</v>
      </c>
      <c r="J753" s="3">
        <v>51.5</v>
      </c>
      <c r="K753" s="3">
        <v>55.5</v>
      </c>
      <c r="L753" s="3">
        <v>56.5</v>
      </c>
      <c r="M753" s="12">
        <f>(PMI!$D753+PMI!$E753)/2</f>
        <v>60.95</v>
      </c>
      <c r="N753" s="12">
        <f>(PMI!$F753+PMI!$G753+PMI!$I753+PMI!$L753)/4</f>
        <v>56.85</v>
      </c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10">
        <v>40422.0</v>
      </c>
      <c r="B754" s="3">
        <v>56.3</v>
      </c>
      <c r="C754" s="3">
        <v>54.5</v>
      </c>
      <c r="D754" s="3">
        <v>59.3</v>
      </c>
      <c r="E754" s="3">
        <v>58.3</v>
      </c>
      <c r="F754" s="3">
        <v>53.8</v>
      </c>
      <c r="G754" s="3">
        <v>56.0</v>
      </c>
      <c r="H754" s="3">
        <v>42.5</v>
      </c>
      <c r="I754" s="3">
        <v>70.5</v>
      </c>
      <c r="J754" s="3">
        <v>46.5</v>
      </c>
      <c r="K754" s="3">
        <v>54.5</v>
      </c>
      <c r="L754" s="3">
        <v>56.5</v>
      </c>
      <c r="M754" s="12">
        <f>(PMI!$D754+PMI!$E754)/2</f>
        <v>58.8</v>
      </c>
      <c r="N754" s="12">
        <f>(PMI!$F754+PMI!$G754+PMI!$I754+PMI!$L754)/4</f>
        <v>59.2</v>
      </c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10">
        <v>40452.0</v>
      </c>
      <c r="B755" s="3">
        <v>57.7</v>
      </c>
      <c r="C755" s="3">
        <v>58.7</v>
      </c>
      <c r="D755" s="3">
        <v>62.0</v>
      </c>
      <c r="E755" s="3">
        <v>58.4</v>
      </c>
      <c r="F755" s="3">
        <v>53.1</v>
      </c>
      <c r="G755" s="3">
        <v>53.0</v>
      </c>
      <c r="H755" s="3">
        <v>44.0</v>
      </c>
      <c r="I755" s="3">
        <v>71.0</v>
      </c>
      <c r="J755" s="3">
        <v>46.0</v>
      </c>
      <c r="K755" s="3">
        <v>60.5</v>
      </c>
      <c r="L755" s="3">
        <v>51.5</v>
      </c>
      <c r="M755" s="12">
        <f>(PMI!$D755+PMI!$E755)/2</f>
        <v>60.2</v>
      </c>
      <c r="N755" s="12">
        <f>(PMI!$F755+PMI!$G755+PMI!$I755+PMI!$L755)/4</f>
        <v>57.15</v>
      </c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10">
        <v>40483.0</v>
      </c>
      <c r="B756" s="3">
        <v>57.6</v>
      </c>
      <c r="C756" s="3">
        <v>57.8</v>
      </c>
      <c r="D756" s="3">
        <v>59.2</v>
      </c>
      <c r="E756" s="3">
        <v>59.6</v>
      </c>
      <c r="F756" s="3">
        <v>59.5</v>
      </c>
      <c r="G756" s="3">
        <v>54.0</v>
      </c>
      <c r="H756" s="3">
        <v>45.5</v>
      </c>
      <c r="I756" s="3">
        <v>69.5</v>
      </c>
      <c r="J756" s="3">
        <v>46.0</v>
      </c>
      <c r="K756" s="3">
        <v>57.0</v>
      </c>
      <c r="L756" s="3">
        <v>53.0</v>
      </c>
      <c r="M756" s="12">
        <f>(PMI!$D756+PMI!$E756)/2</f>
        <v>59.4</v>
      </c>
      <c r="N756" s="12">
        <f>(PMI!$F756+PMI!$G756+PMI!$I756+PMI!$L756)/4</f>
        <v>59</v>
      </c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10">
        <v>40513.0</v>
      </c>
      <c r="B757" s="3">
        <v>57.5</v>
      </c>
      <c r="C757" s="3">
        <v>58.8</v>
      </c>
      <c r="D757" s="3">
        <v>61.5</v>
      </c>
      <c r="E757" s="3">
        <v>59.0</v>
      </c>
      <c r="F757" s="3">
        <v>57.4</v>
      </c>
      <c r="G757" s="3">
        <v>50.0</v>
      </c>
      <c r="H757" s="3">
        <v>40.0</v>
      </c>
      <c r="I757" s="3">
        <v>72.5</v>
      </c>
      <c r="J757" s="3">
        <v>47.0</v>
      </c>
      <c r="K757" s="3">
        <v>54.5</v>
      </c>
      <c r="L757" s="3">
        <v>50.5</v>
      </c>
      <c r="M757" s="12">
        <f>(PMI!$D757+PMI!$E757)/2</f>
        <v>60.25</v>
      </c>
      <c r="N757" s="12">
        <f>(PMI!$F757+PMI!$G757+PMI!$I757+PMI!$L757)/4</f>
        <v>57.6</v>
      </c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10">
        <v>40544.0</v>
      </c>
      <c r="B758" s="3">
        <v>59.3</v>
      </c>
      <c r="C758" s="3">
        <v>63.2</v>
      </c>
      <c r="D758" s="3">
        <v>63.1</v>
      </c>
      <c r="E758" s="3">
        <v>59.6</v>
      </c>
      <c r="F758" s="3">
        <v>58.1</v>
      </c>
      <c r="G758" s="3">
        <v>52.0</v>
      </c>
      <c r="H758" s="3">
        <v>45.5</v>
      </c>
      <c r="I758" s="3">
        <v>81.5</v>
      </c>
      <c r="J758" s="3">
        <v>58.0</v>
      </c>
      <c r="K758" s="3">
        <v>62.0</v>
      </c>
      <c r="L758" s="3">
        <v>55.0</v>
      </c>
      <c r="M758" s="12">
        <f>(PMI!$D758+PMI!$E758)/2</f>
        <v>61.35</v>
      </c>
      <c r="N758" s="12">
        <f>(PMI!$F758+PMI!$G758+PMI!$I758+PMI!$L758)/4</f>
        <v>61.65</v>
      </c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10">
        <v>40575.0</v>
      </c>
      <c r="B759" s="3">
        <v>59.9</v>
      </c>
      <c r="C759" s="3">
        <v>62.7</v>
      </c>
      <c r="D759" s="3">
        <v>63.9</v>
      </c>
      <c r="E759" s="3">
        <v>61.9</v>
      </c>
      <c r="F759" s="3">
        <v>59.2</v>
      </c>
      <c r="G759" s="3">
        <v>50.5</v>
      </c>
      <c r="H759" s="3">
        <v>40.0</v>
      </c>
      <c r="I759" s="3">
        <v>82.0</v>
      </c>
      <c r="J759" s="3">
        <v>59.0</v>
      </c>
      <c r="K759" s="3">
        <v>62.5</v>
      </c>
      <c r="L759" s="3">
        <v>55.0</v>
      </c>
      <c r="M759" s="12">
        <f>(PMI!$D759+PMI!$E759)/2</f>
        <v>62.9</v>
      </c>
      <c r="N759" s="12">
        <f>(PMI!$F759+PMI!$G759+PMI!$I759+PMI!$L759)/4</f>
        <v>61.675</v>
      </c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10">
        <v>40603.0</v>
      </c>
      <c r="B760" s="3">
        <v>59.2</v>
      </c>
      <c r="C760" s="3">
        <v>62.7</v>
      </c>
      <c r="D760" s="3">
        <v>63.9</v>
      </c>
      <c r="E760" s="3">
        <v>61.5</v>
      </c>
      <c r="F760" s="3">
        <v>59.5</v>
      </c>
      <c r="G760" s="3">
        <v>49.0</v>
      </c>
      <c r="H760" s="3">
        <v>39.5</v>
      </c>
      <c r="I760" s="3">
        <v>85.0</v>
      </c>
      <c r="J760" s="3">
        <v>52.5</v>
      </c>
      <c r="K760" s="3">
        <v>56.0</v>
      </c>
      <c r="L760" s="3">
        <v>56.5</v>
      </c>
      <c r="M760" s="12">
        <f>(PMI!$D760+PMI!$E760)/2</f>
        <v>62.7</v>
      </c>
      <c r="N760" s="12">
        <f>(PMI!$F760+PMI!$G760+PMI!$I760+PMI!$L760)/4</f>
        <v>62.5</v>
      </c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10">
        <v>40634.0</v>
      </c>
      <c r="B761" s="3">
        <v>59.4</v>
      </c>
      <c r="C761" s="3">
        <v>63.8</v>
      </c>
      <c r="D761" s="3">
        <v>59.5</v>
      </c>
      <c r="E761" s="3">
        <v>60.2</v>
      </c>
      <c r="F761" s="3">
        <v>59.2</v>
      </c>
      <c r="G761" s="3">
        <v>54.5</v>
      </c>
      <c r="H761" s="3">
        <v>40.5</v>
      </c>
      <c r="I761" s="3">
        <v>85.5</v>
      </c>
      <c r="J761" s="3">
        <v>61.0</v>
      </c>
      <c r="K761" s="3">
        <v>62.0</v>
      </c>
      <c r="L761" s="3">
        <v>55.5</v>
      </c>
      <c r="M761" s="12">
        <f>(PMI!$D761+PMI!$E761)/2</f>
        <v>59.85</v>
      </c>
      <c r="N761" s="12">
        <f>(PMI!$F761+PMI!$G761+PMI!$I761+PMI!$L761)/4</f>
        <v>63.675</v>
      </c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10">
        <v>40664.0</v>
      </c>
      <c r="B762" s="3">
        <v>53.9</v>
      </c>
      <c r="C762" s="3">
        <v>52.4</v>
      </c>
      <c r="D762" s="3">
        <v>53.1</v>
      </c>
      <c r="E762" s="3">
        <v>58.6</v>
      </c>
      <c r="F762" s="3">
        <v>55.0</v>
      </c>
      <c r="G762" s="3">
        <v>48.5</v>
      </c>
      <c r="H762" s="3">
        <v>39.5</v>
      </c>
      <c r="I762" s="3">
        <v>76.5</v>
      </c>
      <c r="J762" s="3">
        <v>50.5</v>
      </c>
      <c r="K762" s="3">
        <v>55.0</v>
      </c>
      <c r="L762" s="3">
        <v>54.5</v>
      </c>
      <c r="M762" s="12">
        <f>(PMI!$D762+PMI!$E762)/2</f>
        <v>55.85</v>
      </c>
      <c r="N762" s="12">
        <f>(PMI!$F762+PMI!$G762+PMI!$I762+PMI!$L762)/4</f>
        <v>58.625</v>
      </c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10">
        <v>40695.0</v>
      </c>
      <c r="B763" s="3">
        <v>56.2</v>
      </c>
      <c r="C763" s="3">
        <v>54.1</v>
      </c>
      <c r="D763" s="3">
        <v>56.7</v>
      </c>
      <c r="E763" s="3">
        <v>59.0</v>
      </c>
      <c r="F763" s="3">
        <v>55.9</v>
      </c>
      <c r="G763" s="3">
        <v>53.5</v>
      </c>
      <c r="H763" s="3">
        <v>47.0</v>
      </c>
      <c r="I763" s="3">
        <v>68.0</v>
      </c>
      <c r="J763" s="3">
        <v>49.0</v>
      </c>
      <c r="K763" s="3">
        <v>53.5</v>
      </c>
      <c r="L763" s="3">
        <v>51.0</v>
      </c>
      <c r="M763" s="12">
        <f>(PMI!$D763+PMI!$E763)/2</f>
        <v>57.85</v>
      </c>
      <c r="N763" s="12">
        <f>(PMI!$F763+PMI!$G763+PMI!$I763+PMI!$L763)/4</f>
        <v>57.1</v>
      </c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10">
        <v>40725.0</v>
      </c>
      <c r="B764" s="3">
        <v>52.9</v>
      </c>
      <c r="C764" s="3">
        <v>51.3</v>
      </c>
      <c r="D764" s="3">
        <v>54.2</v>
      </c>
      <c r="E764" s="3">
        <v>56.6</v>
      </c>
      <c r="F764" s="3">
        <v>51.5</v>
      </c>
      <c r="G764" s="3">
        <v>48.0</v>
      </c>
      <c r="H764" s="3">
        <v>44.0</v>
      </c>
      <c r="I764" s="3">
        <v>59.0</v>
      </c>
      <c r="J764" s="3">
        <v>45.0</v>
      </c>
      <c r="K764" s="3">
        <v>54.0</v>
      </c>
      <c r="L764" s="3">
        <v>53.5</v>
      </c>
      <c r="M764" s="12">
        <f>(PMI!$D764+PMI!$E764)/2</f>
        <v>55.4</v>
      </c>
      <c r="N764" s="12">
        <f>(PMI!$F764+PMI!$G764+PMI!$I764+PMI!$L764)/4</f>
        <v>53</v>
      </c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10">
        <v>40756.0</v>
      </c>
      <c r="B765" s="3">
        <v>52.8</v>
      </c>
      <c r="C765" s="3">
        <v>52.9</v>
      </c>
      <c r="D765" s="3">
        <v>53.0</v>
      </c>
      <c r="E765" s="3">
        <v>53.4</v>
      </c>
      <c r="F765" s="3">
        <v>52.0</v>
      </c>
      <c r="G765" s="3">
        <v>54.5</v>
      </c>
      <c r="H765" s="3">
        <v>46.5</v>
      </c>
      <c r="I765" s="3">
        <v>55.5</v>
      </c>
      <c r="J765" s="3">
        <v>46.0</v>
      </c>
      <c r="K765" s="3">
        <v>50.5</v>
      </c>
      <c r="L765" s="3">
        <v>55.5</v>
      </c>
      <c r="M765" s="12">
        <f>(PMI!$D765+PMI!$E765)/2</f>
        <v>53.2</v>
      </c>
      <c r="N765" s="12">
        <f>(PMI!$F765+PMI!$G765+PMI!$I765+PMI!$L765)/4</f>
        <v>54.375</v>
      </c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10">
        <v>40787.0</v>
      </c>
      <c r="B766" s="3">
        <v>52.7</v>
      </c>
      <c r="C766" s="3">
        <v>51.6</v>
      </c>
      <c r="D766" s="3">
        <v>54.4</v>
      </c>
      <c r="E766" s="3">
        <v>56.1</v>
      </c>
      <c r="F766" s="3">
        <v>51.9</v>
      </c>
      <c r="G766" s="3">
        <v>52.0</v>
      </c>
      <c r="H766" s="3">
        <v>49.0</v>
      </c>
      <c r="I766" s="3">
        <v>56.0</v>
      </c>
      <c r="J766" s="3">
        <v>41.5</v>
      </c>
      <c r="K766" s="3">
        <v>53.5</v>
      </c>
      <c r="L766" s="3">
        <v>54.5</v>
      </c>
      <c r="M766" s="12">
        <f>(PMI!$D766+PMI!$E766)/2</f>
        <v>55.25</v>
      </c>
      <c r="N766" s="12">
        <f>(PMI!$F766+PMI!$G766+PMI!$I766+PMI!$L766)/4</f>
        <v>53.6</v>
      </c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10">
        <v>40817.0</v>
      </c>
      <c r="B767" s="3">
        <v>51.4</v>
      </c>
      <c r="C767" s="3">
        <v>52.2</v>
      </c>
      <c r="D767" s="3">
        <v>53.0</v>
      </c>
      <c r="E767" s="3">
        <v>53.2</v>
      </c>
      <c r="F767" s="3">
        <v>52.4</v>
      </c>
      <c r="G767" s="3">
        <v>46.5</v>
      </c>
      <c r="H767" s="3">
        <v>43.5</v>
      </c>
      <c r="I767" s="3">
        <v>41.0</v>
      </c>
      <c r="J767" s="3">
        <v>47.5</v>
      </c>
      <c r="K767" s="3">
        <v>50.0</v>
      </c>
      <c r="L767" s="3">
        <v>49.5</v>
      </c>
      <c r="M767" s="12">
        <f>(PMI!$D767+PMI!$E767)/2</f>
        <v>53.1</v>
      </c>
      <c r="N767" s="12">
        <f>(PMI!$F767+PMI!$G767+PMI!$I767+PMI!$L767)/4</f>
        <v>47.35</v>
      </c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10">
        <v>40848.0</v>
      </c>
      <c r="B768" s="3">
        <v>51.5</v>
      </c>
      <c r="C768" s="3">
        <v>54.8</v>
      </c>
      <c r="D768" s="3">
        <v>55.8</v>
      </c>
      <c r="E768" s="3">
        <v>53.2</v>
      </c>
      <c r="F768" s="3">
        <v>51.1</v>
      </c>
      <c r="G768" s="3">
        <v>46.5</v>
      </c>
      <c r="H768" s="3">
        <v>50.0</v>
      </c>
      <c r="I768" s="3">
        <v>45.0</v>
      </c>
      <c r="J768" s="3">
        <v>45.0</v>
      </c>
      <c r="K768" s="3">
        <v>52.0</v>
      </c>
      <c r="L768" s="3">
        <v>49.0</v>
      </c>
      <c r="M768" s="12">
        <f>(PMI!$D768+PMI!$E768)/2</f>
        <v>54.5</v>
      </c>
      <c r="N768" s="12">
        <f>(PMI!$F768+PMI!$G768+PMI!$I768+PMI!$L768)/4</f>
        <v>47.9</v>
      </c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10">
        <v>40878.0</v>
      </c>
      <c r="B769" s="3">
        <v>52.6</v>
      </c>
      <c r="C769" s="3">
        <v>55.1</v>
      </c>
      <c r="D769" s="3">
        <v>58.9</v>
      </c>
      <c r="E769" s="3">
        <v>54.6</v>
      </c>
      <c r="F769" s="3">
        <v>50.6</v>
      </c>
      <c r="G769" s="3">
        <v>45.5</v>
      </c>
      <c r="H769" s="3">
        <v>42.5</v>
      </c>
      <c r="I769" s="3">
        <v>47.5</v>
      </c>
      <c r="J769" s="3">
        <v>48.0</v>
      </c>
      <c r="K769" s="3">
        <v>53.0</v>
      </c>
      <c r="L769" s="3">
        <v>54.0</v>
      </c>
      <c r="M769" s="12">
        <f>(PMI!$D769+PMI!$E769)/2</f>
        <v>56.75</v>
      </c>
      <c r="N769" s="12">
        <f>(PMI!$F769+PMI!$G769+PMI!$I769+PMI!$L769)/4</f>
        <v>49.4</v>
      </c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10">
        <v>40909.0</v>
      </c>
      <c r="B770" s="3">
        <v>53.1</v>
      </c>
      <c r="C770" s="3">
        <v>55.2</v>
      </c>
      <c r="D770" s="3">
        <v>54.3</v>
      </c>
      <c r="E770" s="3">
        <v>54.0</v>
      </c>
      <c r="F770" s="3">
        <v>50.8</v>
      </c>
      <c r="G770" s="3">
        <v>49.5</v>
      </c>
      <c r="H770" s="3">
        <v>47.5</v>
      </c>
      <c r="I770" s="3">
        <v>55.5</v>
      </c>
      <c r="J770" s="3">
        <v>52.5</v>
      </c>
      <c r="K770" s="3">
        <v>55.0</v>
      </c>
      <c r="L770" s="3">
        <v>52.5</v>
      </c>
      <c r="M770" s="12">
        <f>(PMI!$D770+PMI!$E770)/2</f>
        <v>54.15</v>
      </c>
      <c r="N770" s="12">
        <f>(PMI!$F770+PMI!$G770+PMI!$I770+PMI!$L770)/4</f>
        <v>52.075</v>
      </c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10">
        <v>40940.0</v>
      </c>
      <c r="B771" s="3">
        <v>53.5</v>
      </c>
      <c r="C771" s="3">
        <v>55.2</v>
      </c>
      <c r="D771" s="3">
        <v>55.5</v>
      </c>
      <c r="E771" s="3">
        <v>53.6</v>
      </c>
      <c r="F771" s="3">
        <v>48.4</v>
      </c>
      <c r="G771" s="3">
        <v>49.5</v>
      </c>
      <c r="H771" s="3">
        <v>46.0</v>
      </c>
      <c r="I771" s="3">
        <v>61.5</v>
      </c>
      <c r="J771" s="3">
        <v>52.0</v>
      </c>
      <c r="K771" s="3">
        <v>59.5</v>
      </c>
      <c r="L771" s="3">
        <v>54.0</v>
      </c>
      <c r="M771" s="12">
        <f>(PMI!$D771+PMI!$E771)/2</f>
        <v>54.55</v>
      </c>
      <c r="N771" s="12">
        <f>(PMI!$F771+PMI!$G771+PMI!$I771+PMI!$L771)/4</f>
        <v>53.35</v>
      </c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10">
        <v>40969.0</v>
      </c>
      <c r="B772" s="3">
        <v>53.6</v>
      </c>
      <c r="C772" s="3">
        <v>55.5</v>
      </c>
      <c r="D772" s="3">
        <v>56.5</v>
      </c>
      <c r="E772" s="3">
        <v>54.6</v>
      </c>
      <c r="F772" s="3">
        <v>48.6</v>
      </c>
      <c r="G772" s="3">
        <v>50.0</v>
      </c>
      <c r="H772" s="3">
        <v>44.5</v>
      </c>
      <c r="I772" s="3">
        <v>61.0</v>
      </c>
      <c r="J772" s="3">
        <v>52.5</v>
      </c>
      <c r="K772" s="3">
        <v>54.0</v>
      </c>
      <c r="L772" s="3">
        <v>53.5</v>
      </c>
      <c r="M772" s="12">
        <f>(PMI!$D772+PMI!$E772)/2</f>
        <v>55.55</v>
      </c>
      <c r="N772" s="12">
        <f>(PMI!$F772+PMI!$G772+PMI!$I772+PMI!$L772)/4</f>
        <v>53.275</v>
      </c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10">
        <v>41000.0</v>
      </c>
      <c r="B773" s="3">
        <v>54.3</v>
      </c>
      <c r="C773" s="3">
        <v>55.8</v>
      </c>
      <c r="D773" s="3">
        <v>59.2</v>
      </c>
      <c r="E773" s="3">
        <v>56.5</v>
      </c>
      <c r="F773" s="3">
        <v>48.7</v>
      </c>
      <c r="G773" s="3">
        <v>48.5</v>
      </c>
      <c r="H773" s="3">
        <v>45.5</v>
      </c>
      <c r="I773" s="3">
        <v>61.0</v>
      </c>
      <c r="J773" s="3">
        <v>49.5</v>
      </c>
      <c r="K773" s="3">
        <v>59.0</v>
      </c>
      <c r="L773" s="3">
        <v>53.5</v>
      </c>
      <c r="M773" s="12">
        <f>(PMI!$D773+PMI!$E773)/2</f>
        <v>57.85</v>
      </c>
      <c r="N773" s="12">
        <f>(PMI!$F773+PMI!$G773+PMI!$I773+PMI!$L773)/4</f>
        <v>52.925</v>
      </c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10">
        <v>41030.0</v>
      </c>
      <c r="B774" s="3">
        <v>53.4</v>
      </c>
      <c r="C774" s="3">
        <v>57.1</v>
      </c>
      <c r="D774" s="3">
        <v>56.6</v>
      </c>
      <c r="E774" s="3">
        <v>56.0</v>
      </c>
      <c r="F774" s="3">
        <v>50.2</v>
      </c>
      <c r="G774" s="3">
        <v>46.0</v>
      </c>
      <c r="H774" s="3">
        <v>43.5</v>
      </c>
      <c r="I774" s="3">
        <v>47.5</v>
      </c>
      <c r="J774" s="3">
        <v>47.0</v>
      </c>
      <c r="K774" s="3">
        <v>53.5</v>
      </c>
      <c r="L774" s="3">
        <v>53.5</v>
      </c>
      <c r="M774" s="12">
        <f>(PMI!$D774+PMI!$E774)/2</f>
        <v>56.3</v>
      </c>
      <c r="N774" s="12">
        <f>(PMI!$F774+PMI!$G774+PMI!$I774+PMI!$L774)/4</f>
        <v>49.3</v>
      </c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10">
        <v>41061.0</v>
      </c>
      <c r="B775" s="3">
        <v>50.7</v>
      </c>
      <c r="C775" s="3">
        <v>51.3</v>
      </c>
      <c r="D775" s="3">
        <v>53.8</v>
      </c>
      <c r="E775" s="3">
        <v>55.8</v>
      </c>
      <c r="F775" s="3">
        <v>50.0</v>
      </c>
      <c r="G775" s="3">
        <v>44.0</v>
      </c>
      <c r="H775" s="3">
        <v>48.5</v>
      </c>
      <c r="I775" s="3">
        <v>37.0</v>
      </c>
      <c r="J775" s="3">
        <v>44.5</v>
      </c>
      <c r="K775" s="3">
        <v>47.5</v>
      </c>
      <c r="L775" s="3">
        <v>53.5</v>
      </c>
      <c r="M775" s="12">
        <f>(PMI!$D775+PMI!$E775)/2</f>
        <v>54.8</v>
      </c>
      <c r="N775" s="12">
        <f>(PMI!$F775+PMI!$G775+PMI!$I775+PMI!$L775)/4</f>
        <v>46.125</v>
      </c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10">
        <v>41091.0</v>
      </c>
      <c r="B776" s="3">
        <v>50.0</v>
      </c>
      <c r="C776" s="3">
        <v>50.3</v>
      </c>
      <c r="D776" s="3">
        <v>50.6</v>
      </c>
      <c r="E776" s="3">
        <v>53.3</v>
      </c>
      <c r="F776" s="3">
        <v>49.6</v>
      </c>
      <c r="G776" s="3">
        <v>49.0</v>
      </c>
      <c r="H776" s="3">
        <v>49.5</v>
      </c>
      <c r="I776" s="3">
        <v>39.5</v>
      </c>
      <c r="J776" s="3">
        <v>43.0</v>
      </c>
      <c r="K776" s="3">
        <v>46.5</v>
      </c>
      <c r="L776" s="3">
        <v>50.5</v>
      </c>
      <c r="M776" s="12">
        <f>(PMI!$D776+PMI!$E776)/2</f>
        <v>51.95</v>
      </c>
      <c r="N776" s="12">
        <f>(PMI!$F776+PMI!$G776+PMI!$I776+PMI!$L776)/4</f>
        <v>47.15</v>
      </c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10">
        <v>41122.0</v>
      </c>
      <c r="B777" s="3">
        <v>50.7</v>
      </c>
      <c r="C777" s="3">
        <v>49.6</v>
      </c>
      <c r="D777" s="3">
        <v>49.5</v>
      </c>
      <c r="E777" s="3">
        <v>52.9</v>
      </c>
      <c r="F777" s="3">
        <v>50.3</v>
      </c>
      <c r="G777" s="3">
        <v>53.0</v>
      </c>
      <c r="H777" s="3">
        <v>49.0</v>
      </c>
      <c r="I777" s="3">
        <v>54.0</v>
      </c>
      <c r="J777" s="3">
        <v>42.5</v>
      </c>
      <c r="K777" s="3">
        <v>47.0</v>
      </c>
      <c r="L777" s="3">
        <v>49.0</v>
      </c>
      <c r="M777" s="12">
        <f>(PMI!$D777+PMI!$E777)/2</f>
        <v>51.2</v>
      </c>
      <c r="N777" s="12">
        <f>(PMI!$F777+PMI!$G777+PMI!$I777+PMI!$L777)/4</f>
        <v>51.575</v>
      </c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10">
        <v>41153.0</v>
      </c>
      <c r="B778" s="3">
        <v>51.8</v>
      </c>
      <c r="C778" s="3">
        <v>53.5</v>
      </c>
      <c r="D778" s="3">
        <v>51.9</v>
      </c>
      <c r="E778" s="3">
        <v>54.3</v>
      </c>
      <c r="F778" s="3">
        <v>50.6</v>
      </c>
      <c r="G778" s="3">
        <v>50.5</v>
      </c>
      <c r="H778" s="3">
        <v>49.5</v>
      </c>
      <c r="I778" s="3">
        <v>58.0</v>
      </c>
      <c r="J778" s="3">
        <v>44.0</v>
      </c>
      <c r="K778" s="3">
        <v>48.5</v>
      </c>
      <c r="L778" s="3">
        <v>49.5</v>
      </c>
      <c r="M778" s="12">
        <f>(PMI!$D778+PMI!$E778)/2</f>
        <v>53.1</v>
      </c>
      <c r="N778" s="12">
        <f>(PMI!$F778+PMI!$G778+PMI!$I778+PMI!$L778)/4</f>
        <v>52.15</v>
      </c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10">
        <v>41183.0</v>
      </c>
      <c r="B779" s="3">
        <v>50.5</v>
      </c>
      <c r="C779" s="3">
        <v>51.8</v>
      </c>
      <c r="D779" s="3">
        <v>51.9</v>
      </c>
      <c r="E779" s="3">
        <v>53.1</v>
      </c>
      <c r="F779" s="3">
        <v>49.4</v>
      </c>
      <c r="G779" s="3">
        <v>50.0</v>
      </c>
      <c r="H779" s="3">
        <v>49.0</v>
      </c>
      <c r="I779" s="3">
        <v>55.0</v>
      </c>
      <c r="J779" s="3">
        <v>41.5</v>
      </c>
      <c r="K779" s="3">
        <v>48.0</v>
      </c>
      <c r="L779" s="3">
        <v>47.5</v>
      </c>
      <c r="M779" s="12">
        <f>(PMI!$D779+PMI!$E779)/2</f>
        <v>52.5</v>
      </c>
      <c r="N779" s="12">
        <f>(PMI!$F779+PMI!$G779+PMI!$I779+PMI!$L779)/4</f>
        <v>50.475</v>
      </c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10">
        <v>41214.0</v>
      </c>
      <c r="B780" s="3">
        <v>48.8</v>
      </c>
      <c r="C780" s="3">
        <v>51.4</v>
      </c>
      <c r="D780" s="3">
        <v>52.2</v>
      </c>
      <c r="E780" s="3">
        <v>48.8</v>
      </c>
      <c r="F780" s="3">
        <v>50.2</v>
      </c>
      <c r="G780" s="3">
        <v>45.0</v>
      </c>
      <c r="H780" s="3">
        <v>42.5</v>
      </c>
      <c r="I780" s="3">
        <v>52.5</v>
      </c>
      <c r="J780" s="3">
        <v>41.0</v>
      </c>
      <c r="K780" s="3">
        <v>47.0</v>
      </c>
      <c r="L780" s="3">
        <v>48.0</v>
      </c>
      <c r="M780" s="12">
        <f>(PMI!$D780+PMI!$E780)/2</f>
        <v>50.5</v>
      </c>
      <c r="N780" s="12">
        <f>(PMI!$F780+PMI!$G780+PMI!$I780+PMI!$L780)/4</f>
        <v>48.925</v>
      </c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10">
        <v>41244.0</v>
      </c>
      <c r="B781" s="3">
        <v>49.8</v>
      </c>
      <c r="C781" s="3">
        <v>50.1</v>
      </c>
      <c r="D781" s="3">
        <v>53.1</v>
      </c>
      <c r="E781" s="3">
        <v>52.7</v>
      </c>
      <c r="F781" s="3">
        <v>52.9</v>
      </c>
      <c r="G781" s="3">
        <v>43.0</v>
      </c>
      <c r="H781" s="3">
        <v>47.0</v>
      </c>
      <c r="I781" s="3">
        <v>55.5</v>
      </c>
      <c r="J781" s="3">
        <v>48.5</v>
      </c>
      <c r="K781" s="3">
        <v>51.5</v>
      </c>
      <c r="L781" s="3">
        <v>51.5</v>
      </c>
      <c r="M781" s="12">
        <f>(PMI!$D781+PMI!$E781)/2</f>
        <v>52.9</v>
      </c>
      <c r="N781" s="12">
        <f>(PMI!$F781+PMI!$G781+PMI!$I781+PMI!$L781)/4</f>
        <v>50.725</v>
      </c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10">
        <v>41275.0</v>
      </c>
      <c r="B782" s="3">
        <v>52.9</v>
      </c>
      <c r="C782" s="3">
        <v>50.8</v>
      </c>
      <c r="D782" s="3">
        <v>53.8</v>
      </c>
      <c r="E782" s="3">
        <v>53.8</v>
      </c>
      <c r="F782" s="3">
        <v>51.9</v>
      </c>
      <c r="G782" s="3">
        <v>51.0</v>
      </c>
      <c r="H782" s="3">
        <v>48.5</v>
      </c>
      <c r="I782" s="3">
        <v>56.5</v>
      </c>
      <c r="J782" s="3">
        <v>47.5</v>
      </c>
      <c r="K782" s="3">
        <v>50.5</v>
      </c>
      <c r="L782" s="3">
        <v>50.0</v>
      </c>
      <c r="M782" s="12">
        <f>(PMI!$D782+PMI!$E782)/2</f>
        <v>53.8</v>
      </c>
      <c r="N782" s="12">
        <f>(PMI!$F782+PMI!$G782+PMI!$I782+PMI!$L782)/4</f>
        <v>52.35</v>
      </c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10">
        <v>41306.0</v>
      </c>
      <c r="B783" s="3">
        <v>54.6</v>
      </c>
      <c r="C783" s="3">
        <v>55.7</v>
      </c>
      <c r="D783" s="3">
        <v>54.5</v>
      </c>
      <c r="E783" s="3">
        <v>52.2</v>
      </c>
      <c r="F783" s="3">
        <v>51.5</v>
      </c>
      <c r="G783" s="3">
        <v>51.5</v>
      </c>
      <c r="H783" s="3">
        <v>46.5</v>
      </c>
      <c r="I783" s="3">
        <v>61.5</v>
      </c>
      <c r="J783" s="3">
        <v>55.0</v>
      </c>
      <c r="K783" s="3">
        <v>53.5</v>
      </c>
      <c r="L783" s="3">
        <v>54.0</v>
      </c>
      <c r="M783" s="12">
        <f>(PMI!$D783+PMI!$E783)/2</f>
        <v>53.35</v>
      </c>
      <c r="N783" s="12">
        <f>(PMI!$F783+PMI!$G783+PMI!$I783+PMI!$L783)/4</f>
        <v>54.625</v>
      </c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10">
        <v>41334.0</v>
      </c>
      <c r="B784" s="3">
        <v>52.5</v>
      </c>
      <c r="C784" s="3">
        <v>51.7</v>
      </c>
      <c r="D784" s="3">
        <v>53.9</v>
      </c>
      <c r="E784" s="3">
        <v>52.1</v>
      </c>
      <c r="F784" s="3">
        <v>50.4</v>
      </c>
      <c r="G784" s="3">
        <v>49.5</v>
      </c>
      <c r="H784" s="3">
        <v>47.5</v>
      </c>
      <c r="I784" s="3">
        <v>54.5</v>
      </c>
      <c r="J784" s="3">
        <v>51.0</v>
      </c>
      <c r="K784" s="3">
        <v>56.0</v>
      </c>
      <c r="L784" s="3">
        <v>54.0</v>
      </c>
      <c r="M784" s="12">
        <f>(PMI!$D784+PMI!$E784)/2</f>
        <v>53</v>
      </c>
      <c r="N784" s="12">
        <f>(PMI!$F784+PMI!$G784+PMI!$I784+PMI!$L784)/4</f>
        <v>52.1</v>
      </c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10">
        <v>41365.0</v>
      </c>
      <c r="B785" s="3">
        <v>50.4</v>
      </c>
      <c r="C785" s="3">
        <v>49.7</v>
      </c>
      <c r="D785" s="3">
        <v>52.1</v>
      </c>
      <c r="E785" s="3">
        <v>50.5</v>
      </c>
      <c r="F785" s="3">
        <v>51.1</v>
      </c>
      <c r="G785" s="3">
        <v>46.5</v>
      </c>
      <c r="H785" s="3">
        <v>44.5</v>
      </c>
      <c r="I785" s="3">
        <v>50.0</v>
      </c>
      <c r="J785" s="3">
        <v>53.0</v>
      </c>
      <c r="K785" s="3">
        <v>54.0</v>
      </c>
      <c r="L785" s="3">
        <v>55.0</v>
      </c>
      <c r="M785" s="12">
        <f>(PMI!$D785+PMI!$E785)/2</f>
        <v>51.3</v>
      </c>
      <c r="N785" s="12">
        <f>(PMI!$F785+PMI!$G785+PMI!$I785+PMI!$L785)/4</f>
        <v>50.65</v>
      </c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10">
        <v>41395.0</v>
      </c>
      <c r="B786" s="3">
        <v>50.2</v>
      </c>
      <c r="C786" s="3">
        <v>49.6</v>
      </c>
      <c r="D786" s="3">
        <v>52.5</v>
      </c>
      <c r="E786" s="3">
        <v>49.0</v>
      </c>
      <c r="F786" s="3">
        <v>49.7</v>
      </c>
      <c r="G786" s="3">
        <v>49.0</v>
      </c>
      <c r="H786" s="3">
        <v>46.0</v>
      </c>
      <c r="I786" s="3">
        <v>49.5</v>
      </c>
      <c r="J786" s="3">
        <v>48.0</v>
      </c>
      <c r="K786" s="3">
        <v>51.0</v>
      </c>
      <c r="L786" s="3">
        <v>54.5</v>
      </c>
      <c r="M786" s="12">
        <f>(PMI!$D786+PMI!$E786)/2</f>
        <v>50.75</v>
      </c>
      <c r="N786" s="12">
        <f>(PMI!$F786+PMI!$G786+PMI!$I786+PMI!$L786)/4</f>
        <v>50.675</v>
      </c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10">
        <v>41426.0</v>
      </c>
      <c r="B787" s="3">
        <v>52.3</v>
      </c>
      <c r="C787" s="3">
        <v>55.7</v>
      </c>
      <c r="D787" s="3">
        <v>55.7</v>
      </c>
      <c r="E787" s="3">
        <v>50.0</v>
      </c>
      <c r="F787" s="3">
        <v>50.4</v>
      </c>
      <c r="G787" s="3">
        <v>50.5</v>
      </c>
      <c r="H787" s="3">
        <v>45.0</v>
      </c>
      <c r="I787" s="3">
        <v>52.5</v>
      </c>
      <c r="J787" s="3">
        <v>46.5</v>
      </c>
      <c r="K787" s="3">
        <v>54.5</v>
      </c>
      <c r="L787" s="3">
        <v>56.0</v>
      </c>
      <c r="M787" s="12">
        <f>(PMI!$D787+PMI!$E787)/2</f>
        <v>52.85</v>
      </c>
      <c r="N787" s="12">
        <f>(PMI!$F787+PMI!$G787+PMI!$I787+PMI!$L787)/4</f>
        <v>52.35</v>
      </c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10">
        <v>41456.0</v>
      </c>
      <c r="B788" s="3">
        <v>53.8</v>
      </c>
      <c r="C788" s="3">
        <v>59.1</v>
      </c>
      <c r="D788" s="3">
        <v>60.8</v>
      </c>
      <c r="E788" s="3">
        <v>55.5</v>
      </c>
      <c r="F788" s="3">
        <v>52.0</v>
      </c>
      <c r="G788" s="3">
        <v>47.0</v>
      </c>
      <c r="H788" s="3">
        <v>47.5</v>
      </c>
      <c r="I788" s="3">
        <v>49.0</v>
      </c>
      <c r="J788" s="3">
        <v>45.0</v>
      </c>
      <c r="K788" s="3">
        <v>53.5</v>
      </c>
      <c r="L788" s="3">
        <v>57.5</v>
      </c>
      <c r="M788" s="12">
        <f>(PMI!$D788+PMI!$E788)/2</f>
        <v>58.15</v>
      </c>
      <c r="N788" s="12">
        <f>(PMI!$F788+PMI!$G788+PMI!$I788+PMI!$L788)/4</f>
        <v>51.375</v>
      </c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10">
        <v>41487.0</v>
      </c>
      <c r="B789" s="3">
        <v>55.6</v>
      </c>
      <c r="C789" s="3">
        <v>63.6</v>
      </c>
      <c r="D789" s="3">
        <v>63.0</v>
      </c>
      <c r="E789" s="3">
        <v>55.0</v>
      </c>
      <c r="F789" s="3">
        <v>52.4</v>
      </c>
      <c r="G789" s="3">
        <v>47.5</v>
      </c>
      <c r="H789" s="3">
        <v>42.5</v>
      </c>
      <c r="I789" s="3">
        <v>54.0</v>
      </c>
      <c r="J789" s="3">
        <v>46.5</v>
      </c>
      <c r="K789" s="3">
        <v>55.5</v>
      </c>
      <c r="L789" s="3">
        <v>58.0</v>
      </c>
      <c r="M789" s="12">
        <f>(PMI!$D789+PMI!$E789)/2</f>
        <v>59</v>
      </c>
      <c r="N789" s="12">
        <f>(PMI!$F789+PMI!$G789+PMI!$I789+PMI!$L789)/4</f>
        <v>52.975</v>
      </c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10">
        <v>41518.0</v>
      </c>
      <c r="B790" s="3">
        <v>55.4</v>
      </c>
      <c r="C790" s="3">
        <v>61.3</v>
      </c>
      <c r="D790" s="3">
        <v>61.2</v>
      </c>
      <c r="E790" s="3">
        <v>54.8</v>
      </c>
      <c r="F790" s="3">
        <v>52.7</v>
      </c>
      <c r="G790" s="3">
        <v>50.0</v>
      </c>
      <c r="H790" s="3">
        <v>43.0</v>
      </c>
      <c r="I790" s="3">
        <v>56.5</v>
      </c>
      <c r="J790" s="3">
        <v>49.5</v>
      </c>
      <c r="K790" s="3">
        <v>52.0</v>
      </c>
      <c r="L790" s="3">
        <v>55.0</v>
      </c>
      <c r="M790" s="12">
        <f>(PMI!$D790+PMI!$E790)/2</f>
        <v>58</v>
      </c>
      <c r="N790" s="12">
        <f>(PMI!$F790+PMI!$G790+PMI!$I790+PMI!$L790)/4</f>
        <v>53.55</v>
      </c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10">
        <v>41548.0</v>
      </c>
      <c r="B791" s="3">
        <v>55.4</v>
      </c>
      <c r="C791" s="3">
        <v>61.3</v>
      </c>
      <c r="D791" s="3">
        <v>60.8</v>
      </c>
      <c r="E791" s="3">
        <v>54.3</v>
      </c>
      <c r="F791" s="3">
        <v>54.1</v>
      </c>
      <c r="G791" s="3">
        <v>52.5</v>
      </c>
      <c r="H791" s="3">
        <v>47.0</v>
      </c>
      <c r="I791" s="3">
        <v>55.5</v>
      </c>
      <c r="J791" s="3">
        <v>51.5</v>
      </c>
      <c r="K791" s="3">
        <v>57.0</v>
      </c>
      <c r="L791" s="3">
        <v>55.5</v>
      </c>
      <c r="M791" s="12">
        <f>(PMI!$D791+PMI!$E791)/2</f>
        <v>57.55</v>
      </c>
      <c r="N791" s="12">
        <f>(PMI!$F791+PMI!$G791+PMI!$I791+PMI!$L791)/4</f>
        <v>54.4</v>
      </c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10">
        <v>41579.0</v>
      </c>
      <c r="B792" s="3">
        <v>56.0</v>
      </c>
      <c r="C792" s="3">
        <v>63.4</v>
      </c>
      <c r="D792" s="3">
        <v>62.4</v>
      </c>
      <c r="E792" s="3">
        <v>55.4</v>
      </c>
      <c r="F792" s="3">
        <v>53.3</v>
      </c>
      <c r="G792" s="3">
        <v>50.5</v>
      </c>
      <c r="H792" s="3">
        <v>45.0</v>
      </c>
      <c r="I792" s="3">
        <v>52.5</v>
      </c>
      <c r="J792" s="3">
        <v>54.0</v>
      </c>
      <c r="K792" s="3">
        <v>59.5</v>
      </c>
      <c r="L792" s="3">
        <v>55.0</v>
      </c>
      <c r="M792" s="12">
        <f>(PMI!$D792+PMI!$E792)/2</f>
        <v>58.9</v>
      </c>
      <c r="N792" s="12">
        <f>(PMI!$F792+PMI!$G792+PMI!$I792+PMI!$L792)/4</f>
        <v>52.825</v>
      </c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10">
        <v>41609.0</v>
      </c>
      <c r="B793" s="3">
        <v>55.9</v>
      </c>
      <c r="C793" s="3">
        <v>64.4</v>
      </c>
      <c r="D793" s="3">
        <v>61.7</v>
      </c>
      <c r="E793" s="3">
        <v>55.8</v>
      </c>
      <c r="F793" s="3">
        <v>53.7</v>
      </c>
      <c r="G793" s="3">
        <v>47.0</v>
      </c>
      <c r="H793" s="3">
        <v>47.5</v>
      </c>
      <c r="I793" s="3">
        <v>53.5</v>
      </c>
      <c r="J793" s="3">
        <v>51.5</v>
      </c>
      <c r="K793" s="3">
        <v>55.0</v>
      </c>
      <c r="L793" s="3">
        <v>55.0</v>
      </c>
      <c r="M793" s="12">
        <f>(PMI!$D793+PMI!$E793)/2</f>
        <v>58.75</v>
      </c>
      <c r="N793" s="12">
        <f>(PMI!$F793+PMI!$G793+PMI!$I793+PMI!$L793)/4</f>
        <v>52.3</v>
      </c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10">
        <v>41640.0</v>
      </c>
      <c r="B794" s="3">
        <v>52.1</v>
      </c>
      <c r="C794" s="3">
        <v>51.2</v>
      </c>
      <c r="D794" s="3">
        <v>54.8</v>
      </c>
      <c r="E794" s="3">
        <v>52.3</v>
      </c>
      <c r="F794" s="3">
        <v>54.3</v>
      </c>
      <c r="G794" s="3">
        <v>44.0</v>
      </c>
      <c r="H794" s="3">
        <v>44.0</v>
      </c>
      <c r="I794" s="3">
        <v>60.5</v>
      </c>
      <c r="J794" s="3">
        <v>48.0</v>
      </c>
      <c r="K794" s="3">
        <v>54.5</v>
      </c>
      <c r="L794" s="3">
        <v>53.5</v>
      </c>
      <c r="M794" s="12">
        <f>(PMI!$D794+PMI!$E794)/2</f>
        <v>53.55</v>
      </c>
      <c r="N794" s="12">
        <f>(PMI!$F794+PMI!$G794+PMI!$I794+PMI!$L794)/4</f>
        <v>53.075</v>
      </c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10">
        <v>41671.0</v>
      </c>
      <c r="B795" s="3">
        <v>54.8</v>
      </c>
      <c r="C795" s="3">
        <v>54.5</v>
      </c>
      <c r="D795" s="3">
        <v>48.2</v>
      </c>
      <c r="E795" s="3">
        <v>52.3</v>
      </c>
      <c r="F795" s="3">
        <v>58.5</v>
      </c>
      <c r="G795" s="3">
        <v>52.5</v>
      </c>
      <c r="H795" s="3">
        <v>46.5</v>
      </c>
      <c r="I795" s="3">
        <v>60.0</v>
      </c>
      <c r="J795" s="3">
        <v>52.0</v>
      </c>
      <c r="K795" s="3">
        <v>53.5</v>
      </c>
      <c r="L795" s="3">
        <v>53.5</v>
      </c>
      <c r="M795" s="12">
        <f>(PMI!$D795+PMI!$E795)/2</f>
        <v>50.25</v>
      </c>
      <c r="N795" s="12">
        <f>(PMI!$F795+PMI!$G795+PMI!$I795+PMI!$L795)/4</f>
        <v>56.125</v>
      </c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10">
        <v>41699.0</v>
      </c>
      <c r="B796" s="3">
        <v>55.1</v>
      </c>
      <c r="C796" s="3">
        <v>55.1</v>
      </c>
      <c r="D796" s="3">
        <v>55.9</v>
      </c>
      <c r="E796" s="3">
        <v>51.1</v>
      </c>
      <c r="F796" s="3">
        <v>54.0</v>
      </c>
      <c r="G796" s="3">
        <v>52.5</v>
      </c>
      <c r="H796" s="3">
        <v>42.0</v>
      </c>
      <c r="I796" s="3">
        <v>59.0</v>
      </c>
      <c r="J796" s="3">
        <v>57.5</v>
      </c>
      <c r="K796" s="3">
        <v>55.5</v>
      </c>
      <c r="L796" s="3">
        <v>54.5</v>
      </c>
      <c r="M796" s="12">
        <f>(PMI!$D796+PMI!$E796)/2</f>
        <v>53.5</v>
      </c>
      <c r="N796" s="12">
        <f>(PMI!$F796+PMI!$G796+PMI!$I796+PMI!$L796)/4</f>
        <v>55</v>
      </c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10">
        <v>41730.0</v>
      </c>
      <c r="B797" s="3">
        <v>55.4</v>
      </c>
      <c r="C797" s="3">
        <v>55.1</v>
      </c>
      <c r="D797" s="3">
        <v>55.7</v>
      </c>
      <c r="E797" s="3">
        <v>54.7</v>
      </c>
      <c r="F797" s="3">
        <v>55.9</v>
      </c>
      <c r="G797" s="3">
        <v>53.0</v>
      </c>
      <c r="H797" s="3">
        <v>42.0</v>
      </c>
      <c r="I797" s="3">
        <v>56.5</v>
      </c>
      <c r="J797" s="3">
        <v>55.5</v>
      </c>
      <c r="K797" s="3">
        <v>57.0</v>
      </c>
      <c r="L797" s="3">
        <v>58.0</v>
      </c>
      <c r="M797" s="12">
        <f>(PMI!$D797+PMI!$E797)/2</f>
        <v>55.2</v>
      </c>
      <c r="N797" s="12">
        <f>(PMI!$F797+PMI!$G797+PMI!$I797+PMI!$L797)/4</f>
        <v>55.85</v>
      </c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10">
        <v>41760.0</v>
      </c>
      <c r="B798" s="3">
        <v>55.8</v>
      </c>
      <c r="C798" s="3">
        <v>56.9</v>
      </c>
      <c r="D798" s="3">
        <v>61.0</v>
      </c>
      <c r="E798" s="3">
        <v>52.8</v>
      </c>
      <c r="F798" s="3">
        <v>53.2</v>
      </c>
      <c r="G798" s="3">
        <v>53.0</v>
      </c>
      <c r="H798" s="3">
        <v>46.5</v>
      </c>
      <c r="I798" s="3">
        <v>60.0</v>
      </c>
      <c r="J798" s="3">
        <v>52.5</v>
      </c>
      <c r="K798" s="3">
        <v>56.5</v>
      </c>
      <c r="L798" s="3">
        <v>54.5</v>
      </c>
      <c r="M798" s="12">
        <f>(PMI!$D798+PMI!$E798)/2</f>
        <v>56.9</v>
      </c>
      <c r="N798" s="12">
        <f>(PMI!$F798+PMI!$G798+PMI!$I798+PMI!$L798)/4</f>
        <v>55.175</v>
      </c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10">
        <v>41791.0</v>
      </c>
      <c r="B799" s="3">
        <v>55.3</v>
      </c>
      <c r="C799" s="3">
        <v>58.9</v>
      </c>
      <c r="D799" s="3">
        <v>60.0</v>
      </c>
      <c r="E799" s="3">
        <v>52.8</v>
      </c>
      <c r="F799" s="3">
        <v>51.9</v>
      </c>
      <c r="G799" s="3">
        <v>53.0</v>
      </c>
      <c r="H799" s="3">
        <v>46.5</v>
      </c>
      <c r="I799" s="3">
        <v>58.0</v>
      </c>
      <c r="J799" s="3">
        <v>48.0</v>
      </c>
      <c r="K799" s="3">
        <v>54.5</v>
      </c>
      <c r="L799" s="3">
        <v>57.0</v>
      </c>
      <c r="M799" s="12">
        <f>(PMI!$D799+PMI!$E799)/2</f>
        <v>56.4</v>
      </c>
      <c r="N799" s="12">
        <f>(PMI!$F799+PMI!$G799+PMI!$I799+PMI!$L799)/4</f>
        <v>54.975</v>
      </c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10">
        <v>41821.0</v>
      </c>
      <c r="B800" s="3">
        <v>55.6</v>
      </c>
      <c r="C800" s="3">
        <v>63.4</v>
      </c>
      <c r="D800" s="3">
        <v>61.2</v>
      </c>
      <c r="E800" s="3">
        <v>58.2</v>
      </c>
      <c r="F800" s="3">
        <v>54.1</v>
      </c>
      <c r="G800" s="3">
        <v>48.5</v>
      </c>
      <c r="H800" s="3">
        <v>43.5</v>
      </c>
      <c r="I800" s="3">
        <v>59.5</v>
      </c>
      <c r="J800" s="3">
        <v>49.5</v>
      </c>
      <c r="K800" s="3">
        <v>53.0</v>
      </c>
      <c r="L800" s="3">
        <v>52.0</v>
      </c>
      <c r="M800" s="12">
        <f>(PMI!$D800+PMI!$E800)/2</f>
        <v>59.7</v>
      </c>
      <c r="N800" s="12">
        <f>(PMI!$F800+PMI!$G800+PMI!$I800+PMI!$L800)/4</f>
        <v>53.525</v>
      </c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10">
        <v>41852.0</v>
      </c>
      <c r="B801" s="3">
        <v>58.1</v>
      </c>
      <c r="C801" s="3">
        <v>66.7</v>
      </c>
      <c r="D801" s="3">
        <v>64.5</v>
      </c>
      <c r="E801" s="3">
        <v>58.1</v>
      </c>
      <c r="F801" s="3">
        <v>53.9</v>
      </c>
      <c r="G801" s="3">
        <v>52.0</v>
      </c>
      <c r="H801" s="3">
        <v>49.0</v>
      </c>
      <c r="I801" s="3">
        <v>58.0</v>
      </c>
      <c r="J801" s="3">
        <v>52.5</v>
      </c>
      <c r="K801" s="3">
        <v>55.0</v>
      </c>
      <c r="L801" s="3">
        <v>56.0</v>
      </c>
      <c r="M801" s="12">
        <f>(PMI!$D801+PMI!$E801)/2</f>
        <v>61.3</v>
      </c>
      <c r="N801" s="12">
        <f>(PMI!$F801+PMI!$G801+PMI!$I801+PMI!$L801)/4</f>
        <v>54.975</v>
      </c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10">
        <v>41883.0</v>
      </c>
      <c r="B802" s="3">
        <v>55.8</v>
      </c>
      <c r="C802" s="3">
        <v>60.0</v>
      </c>
      <c r="D802" s="3">
        <v>64.6</v>
      </c>
      <c r="E802" s="3">
        <v>54.6</v>
      </c>
      <c r="F802" s="3">
        <v>52.2</v>
      </c>
      <c r="G802" s="3">
        <v>51.5</v>
      </c>
      <c r="H802" s="3">
        <v>44.5</v>
      </c>
      <c r="I802" s="3">
        <v>59.5</v>
      </c>
      <c r="J802" s="3">
        <v>47.0</v>
      </c>
      <c r="K802" s="3">
        <v>53.5</v>
      </c>
      <c r="L802" s="3">
        <v>53.0</v>
      </c>
      <c r="M802" s="12">
        <f>(PMI!$D802+PMI!$E802)/2</f>
        <v>59.6</v>
      </c>
      <c r="N802" s="12">
        <f>(PMI!$F802+PMI!$G802+PMI!$I802+PMI!$L802)/4</f>
        <v>54.05</v>
      </c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10">
        <v>41913.0</v>
      </c>
      <c r="B803" s="3">
        <v>57.3</v>
      </c>
      <c r="C803" s="3">
        <v>65.8</v>
      </c>
      <c r="D803" s="3">
        <v>64.8</v>
      </c>
      <c r="E803" s="3">
        <v>55.5</v>
      </c>
      <c r="F803" s="3">
        <v>56.2</v>
      </c>
      <c r="G803" s="3">
        <v>52.5</v>
      </c>
      <c r="H803" s="3">
        <v>48.0</v>
      </c>
      <c r="I803" s="3">
        <v>53.5</v>
      </c>
      <c r="J803" s="3">
        <v>53.0</v>
      </c>
      <c r="K803" s="3">
        <v>51.5</v>
      </c>
      <c r="L803" s="3">
        <v>54.5</v>
      </c>
      <c r="M803" s="12">
        <f>(PMI!$D803+PMI!$E803)/2</f>
        <v>60.15</v>
      </c>
      <c r="N803" s="12">
        <f>(PMI!$F803+PMI!$G803+PMI!$I803+PMI!$L803)/4</f>
        <v>54.175</v>
      </c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10">
        <v>41944.0</v>
      </c>
      <c r="B804" s="3">
        <v>57.5</v>
      </c>
      <c r="C804" s="3">
        <v>66.0</v>
      </c>
      <c r="D804" s="3">
        <v>64.4</v>
      </c>
      <c r="E804" s="3">
        <v>54.9</v>
      </c>
      <c r="F804" s="3">
        <v>56.8</v>
      </c>
      <c r="G804" s="3">
        <v>51.5</v>
      </c>
      <c r="H804" s="3">
        <v>50.0</v>
      </c>
      <c r="I804" s="3">
        <v>44.5</v>
      </c>
      <c r="J804" s="3">
        <v>55.0</v>
      </c>
      <c r="K804" s="3">
        <v>55.0</v>
      </c>
      <c r="L804" s="3">
        <v>56.0</v>
      </c>
      <c r="M804" s="12">
        <f>(PMI!$D804+PMI!$E804)/2</f>
        <v>59.65</v>
      </c>
      <c r="N804" s="12">
        <f>(PMI!$F804+PMI!$G804+PMI!$I804+PMI!$L804)/4</f>
        <v>52.2</v>
      </c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10">
        <v>41974.0</v>
      </c>
      <c r="B805" s="3">
        <v>54.9</v>
      </c>
      <c r="C805" s="3">
        <v>57.8</v>
      </c>
      <c r="D805" s="3">
        <v>57.7</v>
      </c>
      <c r="E805" s="3">
        <v>56.0</v>
      </c>
      <c r="F805" s="3">
        <v>58.6</v>
      </c>
      <c r="G805" s="3">
        <v>45.5</v>
      </c>
      <c r="H805" s="3">
        <v>44.5</v>
      </c>
      <c r="I805" s="3">
        <v>38.5</v>
      </c>
      <c r="J805" s="3">
        <v>52.5</v>
      </c>
      <c r="K805" s="3">
        <v>52.0</v>
      </c>
      <c r="L805" s="3">
        <v>55.0</v>
      </c>
      <c r="M805" s="12">
        <f>(PMI!$D805+PMI!$E805)/2</f>
        <v>56.85</v>
      </c>
      <c r="N805" s="12">
        <f>(PMI!$F805+PMI!$G805+PMI!$I805+PMI!$L805)/4</f>
        <v>49.4</v>
      </c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10">
        <v>42005.0</v>
      </c>
      <c r="B806" s="3">
        <v>53.9</v>
      </c>
      <c r="C806" s="3">
        <v>52.9</v>
      </c>
      <c r="D806" s="3">
        <v>56.5</v>
      </c>
      <c r="E806" s="3">
        <v>54.1</v>
      </c>
      <c r="F806" s="3">
        <v>52.9</v>
      </c>
      <c r="G806" s="3">
        <v>51.0</v>
      </c>
      <c r="H806" s="3">
        <v>42.5</v>
      </c>
      <c r="I806" s="3">
        <v>35.0</v>
      </c>
      <c r="J806" s="3">
        <v>46.0</v>
      </c>
      <c r="K806" s="3">
        <v>49.5</v>
      </c>
      <c r="L806" s="3">
        <v>55.5</v>
      </c>
      <c r="M806" s="12">
        <f>(PMI!$D806+PMI!$E806)/2</f>
        <v>55.3</v>
      </c>
      <c r="N806" s="12">
        <f>(PMI!$F806+PMI!$G806+PMI!$I806+PMI!$L806)/4</f>
        <v>48.6</v>
      </c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10">
        <v>42036.0</v>
      </c>
      <c r="B807" s="3">
        <v>53.3</v>
      </c>
      <c r="C807" s="3">
        <v>52.5</v>
      </c>
      <c r="D807" s="3">
        <v>53.7</v>
      </c>
      <c r="E807" s="3">
        <v>51.4</v>
      </c>
      <c r="F807" s="3">
        <v>54.3</v>
      </c>
      <c r="G807" s="3">
        <v>52.5</v>
      </c>
      <c r="H807" s="3">
        <v>46.5</v>
      </c>
      <c r="I807" s="3">
        <v>35.0</v>
      </c>
      <c r="J807" s="3">
        <v>51.5</v>
      </c>
      <c r="K807" s="3">
        <v>48.5</v>
      </c>
      <c r="L807" s="3">
        <v>54.0</v>
      </c>
      <c r="M807" s="12">
        <f>(PMI!$D807+PMI!$E807)/2</f>
        <v>52.55</v>
      </c>
      <c r="N807" s="12">
        <f>(PMI!$F807+PMI!$G807+PMI!$I807+PMI!$L807)/4</f>
        <v>48.95</v>
      </c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10">
        <v>42064.0</v>
      </c>
      <c r="B808" s="3">
        <v>52.3</v>
      </c>
      <c r="C808" s="3">
        <v>51.8</v>
      </c>
      <c r="D808" s="3">
        <v>53.8</v>
      </c>
      <c r="E808" s="3">
        <v>50.0</v>
      </c>
      <c r="F808" s="3">
        <v>50.5</v>
      </c>
      <c r="G808" s="3">
        <v>51.5</v>
      </c>
      <c r="H808" s="3">
        <v>45.5</v>
      </c>
      <c r="I808" s="3">
        <v>39.0</v>
      </c>
      <c r="J808" s="3">
        <v>49.5</v>
      </c>
      <c r="K808" s="3">
        <v>47.5</v>
      </c>
      <c r="L808" s="3">
        <v>52.5</v>
      </c>
      <c r="M808" s="12">
        <f>(PMI!$D808+PMI!$E808)/2</f>
        <v>51.9</v>
      </c>
      <c r="N808" s="12">
        <f>(PMI!$F808+PMI!$G808+PMI!$I808+PMI!$L808)/4</f>
        <v>48.375</v>
      </c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10">
        <v>42095.0</v>
      </c>
      <c r="B809" s="3">
        <v>51.6</v>
      </c>
      <c r="C809" s="3">
        <v>53.5</v>
      </c>
      <c r="D809" s="3">
        <v>56.0</v>
      </c>
      <c r="E809" s="3">
        <v>48.3</v>
      </c>
      <c r="F809" s="3">
        <v>50.1</v>
      </c>
      <c r="G809" s="3">
        <v>49.5</v>
      </c>
      <c r="H809" s="3">
        <v>44.0</v>
      </c>
      <c r="I809" s="3">
        <v>40.5</v>
      </c>
      <c r="J809" s="3">
        <v>49.5</v>
      </c>
      <c r="K809" s="3">
        <v>51.5</v>
      </c>
      <c r="L809" s="3">
        <v>54.0</v>
      </c>
      <c r="M809" s="12">
        <f>(PMI!$D809+PMI!$E809)/2</f>
        <v>52.15</v>
      </c>
      <c r="N809" s="12">
        <f>(PMI!$F809+PMI!$G809+PMI!$I809+PMI!$L809)/4</f>
        <v>48.525</v>
      </c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10">
        <v>42125.0</v>
      </c>
      <c r="B810" s="3">
        <v>53.1</v>
      </c>
      <c r="C810" s="3">
        <v>55.8</v>
      </c>
      <c r="D810" s="3">
        <v>54.5</v>
      </c>
      <c r="E810" s="3">
        <v>51.7</v>
      </c>
      <c r="F810" s="3">
        <v>50.7</v>
      </c>
      <c r="G810" s="3">
        <v>51.5</v>
      </c>
      <c r="H810" s="3">
        <v>45.5</v>
      </c>
      <c r="I810" s="3">
        <v>49.5</v>
      </c>
      <c r="J810" s="3">
        <v>53.5</v>
      </c>
      <c r="K810" s="3">
        <v>50.0</v>
      </c>
      <c r="L810" s="3">
        <v>55.0</v>
      </c>
      <c r="M810" s="12">
        <f>(PMI!$D810+PMI!$E810)/2</f>
        <v>53.1</v>
      </c>
      <c r="N810" s="12">
        <f>(PMI!$F810+PMI!$G810+PMI!$I810+PMI!$L810)/4</f>
        <v>51.675</v>
      </c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10">
        <v>42156.0</v>
      </c>
      <c r="B811" s="3">
        <v>53.1</v>
      </c>
      <c r="C811" s="3">
        <v>56.0</v>
      </c>
      <c r="D811" s="3">
        <v>54.0</v>
      </c>
      <c r="E811" s="3">
        <v>55.5</v>
      </c>
      <c r="F811" s="3">
        <v>48.8</v>
      </c>
      <c r="G811" s="3">
        <v>53.0</v>
      </c>
      <c r="H811" s="3">
        <v>48.5</v>
      </c>
      <c r="I811" s="3">
        <v>49.5</v>
      </c>
      <c r="J811" s="3">
        <v>47.0</v>
      </c>
      <c r="K811" s="3">
        <v>49.5</v>
      </c>
      <c r="L811" s="3">
        <v>53.5</v>
      </c>
      <c r="M811" s="12">
        <f>(PMI!$D811+PMI!$E811)/2</f>
        <v>54.75</v>
      </c>
      <c r="N811" s="12">
        <f>(PMI!$F811+PMI!$G811+PMI!$I811+PMI!$L811)/4</f>
        <v>51.2</v>
      </c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10">
        <v>42186.0</v>
      </c>
      <c r="B812" s="3">
        <v>51.9</v>
      </c>
      <c r="C812" s="3">
        <v>56.5</v>
      </c>
      <c r="D812" s="3">
        <v>56.0</v>
      </c>
      <c r="E812" s="3">
        <v>52.7</v>
      </c>
      <c r="F812" s="3">
        <v>48.9</v>
      </c>
      <c r="G812" s="3">
        <v>49.5</v>
      </c>
      <c r="H812" s="3">
        <v>44.0</v>
      </c>
      <c r="I812" s="3">
        <v>44.0</v>
      </c>
      <c r="J812" s="3">
        <v>42.5</v>
      </c>
      <c r="K812" s="3">
        <v>48.0</v>
      </c>
      <c r="L812" s="3">
        <v>52.0</v>
      </c>
      <c r="M812" s="12">
        <f>(PMI!$D812+PMI!$E812)/2</f>
        <v>54.35</v>
      </c>
      <c r="N812" s="12">
        <f>(PMI!$F812+PMI!$G812+PMI!$I812+PMI!$L812)/4</f>
        <v>48.6</v>
      </c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10">
        <v>42217.0</v>
      </c>
      <c r="B813" s="3">
        <v>51.0</v>
      </c>
      <c r="C813" s="3">
        <v>51.7</v>
      </c>
      <c r="D813" s="3">
        <v>53.6</v>
      </c>
      <c r="E813" s="3">
        <v>51.2</v>
      </c>
      <c r="F813" s="3">
        <v>50.7</v>
      </c>
      <c r="G813" s="3">
        <v>48.5</v>
      </c>
      <c r="H813" s="3">
        <v>53.0</v>
      </c>
      <c r="I813" s="3">
        <v>39.0</v>
      </c>
      <c r="J813" s="3">
        <v>46.5</v>
      </c>
      <c r="K813" s="3">
        <v>46.5</v>
      </c>
      <c r="L813" s="3">
        <v>51.5</v>
      </c>
      <c r="M813" s="12">
        <f>(PMI!$D813+PMI!$E813)/2</f>
        <v>52.4</v>
      </c>
      <c r="N813" s="12">
        <f>(PMI!$F813+PMI!$G813+PMI!$I813+PMI!$L813)/4</f>
        <v>47.425</v>
      </c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10">
        <v>42248.0</v>
      </c>
      <c r="B814" s="3">
        <v>50.0</v>
      </c>
      <c r="C814" s="3">
        <v>50.1</v>
      </c>
      <c r="D814" s="3">
        <v>51.8</v>
      </c>
      <c r="E814" s="3">
        <v>50.5</v>
      </c>
      <c r="F814" s="3">
        <v>50.2</v>
      </c>
      <c r="G814" s="3">
        <v>48.5</v>
      </c>
      <c r="H814" s="3">
        <v>54.5</v>
      </c>
      <c r="I814" s="3">
        <v>38.0</v>
      </c>
      <c r="J814" s="3">
        <v>41.5</v>
      </c>
      <c r="K814" s="3">
        <v>46.5</v>
      </c>
      <c r="L814" s="3">
        <v>50.5</v>
      </c>
      <c r="M814" s="12">
        <f>(PMI!$D814+PMI!$E814)/2</f>
        <v>51.15</v>
      </c>
      <c r="N814" s="12">
        <f>(PMI!$F814+PMI!$G814+PMI!$I814+PMI!$L814)/4</f>
        <v>46.8</v>
      </c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10">
        <v>42278.0</v>
      </c>
      <c r="B815" s="3">
        <v>49.4</v>
      </c>
      <c r="C815" s="3">
        <v>52.9</v>
      </c>
      <c r="D815" s="3">
        <v>52.9</v>
      </c>
      <c r="E815" s="3">
        <v>47.6</v>
      </c>
      <c r="F815" s="3">
        <v>50.4</v>
      </c>
      <c r="G815" s="3">
        <v>46.5</v>
      </c>
      <c r="H815" s="3">
        <v>51.0</v>
      </c>
      <c r="I815" s="3">
        <v>39.0</v>
      </c>
      <c r="J815" s="3">
        <v>42.5</v>
      </c>
      <c r="K815" s="3">
        <v>47.5</v>
      </c>
      <c r="L815" s="3">
        <v>47.0</v>
      </c>
      <c r="M815" s="12">
        <f>(PMI!$D815+PMI!$E815)/2</f>
        <v>50.25</v>
      </c>
      <c r="N815" s="12">
        <f>(PMI!$F815+PMI!$G815+PMI!$I815+PMI!$L815)/4</f>
        <v>45.725</v>
      </c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10">
        <v>42309.0</v>
      </c>
      <c r="B816" s="3">
        <v>48.4</v>
      </c>
      <c r="C816" s="3">
        <v>48.9</v>
      </c>
      <c r="D816" s="3">
        <v>49.2</v>
      </c>
      <c r="E816" s="3">
        <v>51.3</v>
      </c>
      <c r="F816" s="3">
        <v>50.6</v>
      </c>
      <c r="G816" s="3">
        <v>43.0</v>
      </c>
      <c r="H816" s="3">
        <v>50.5</v>
      </c>
      <c r="I816" s="3">
        <v>35.5</v>
      </c>
      <c r="J816" s="3">
        <v>43.0</v>
      </c>
      <c r="K816" s="3">
        <v>47.5</v>
      </c>
      <c r="L816" s="3">
        <v>49.0</v>
      </c>
      <c r="M816" s="12">
        <f>(PMI!$D816+PMI!$E816)/2</f>
        <v>50.25</v>
      </c>
      <c r="N816" s="12">
        <f>(PMI!$F816+PMI!$G816+PMI!$I816+PMI!$L816)/4</f>
        <v>44.525</v>
      </c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10">
        <v>42339.0</v>
      </c>
      <c r="B817" s="3">
        <v>48.0</v>
      </c>
      <c r="C817" s="3">
        <v>48.8</v>
      </c>
      <c r="D817" s="3">
        <v>49.9</v>
      </c>
      <c r="E817" s="3">
        <v>48.0</v>
      </c>
      <c r="F817" s="3">
        <v>49.8</v>
      </c>
      <c r="G817" s="3">
        <v>43.5</v>
      </c>
      <c r="H817" s="3">
        <v>51.5</v>
      </c>
      <c r="I817" s="3">
        <v>33.5</v>
      </c>
      <c r="J817" s="3">
        <v>41.0</v>
      </c>
      <c r="K817" s="3">
        <v>51.0</v>
      </c>
      <c r="L817" s="3">
        <v>45.5</v>
      </c>
      <c r="M817" s="12">
        <f>(PMI!$D817+PMI!$E817)/2</f>
        <v>48.95</v>
      </c>
      <c r="N817" s="12">
        <f>(PMI!$F817+PMI!$G817+PMI!$I817+PMI!$L817)/4</f>
        <v>43.075</v>
      </c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10">
        <v>42370.0</v>
      </c>
      <c r="B818" s="3">
        <v>48.2</v>
      </c>
      <c r="C818" s="3">
        <v>51.5</v>
      </c>
      <c r="D818" s="3">
        <v>50.2</v>
      </c>
      <c r="E818" s="3">
        <v>45.9</v>
      </c>
      <c r="F818" s="3">
        <v>50.0</v>
      </c>
      <c r="G818" s="3">
        <v>43.5</v>
      </c>
      <c r="H818" s="3">
        <v>51.5</v>
      </c>
      <c r="I818" s="3">
        <v>33.5</v>
      </c>
      <c r="J818" s="3">
        <v>43.0</v>
      </c>
      <c r="K818" s="3">
        <v>47.0</v>
      </c>
      <c r="L818" s="3">
        <v>51.0</v>
      </c>
      <c r="M818" s="12">
        <f>(PMI!$D818+PMI!$E818)/2</f>
        <v>48.05</v>
      </c>
      <c r="N818" s="12">
        <f>(PMI!$F818+PMI!$G818+PMI!$I818+PMI!$L818)/4</f>
        <v>44.5</v>
      </c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10">
        <v>42401.0</v>
      </c>
      <c r="B819" s="3">
        <v>49.5</v>
      </c>
      <c r="C819" s="3">
        <v>51.5</v>
      </c>
      <c r="D819" s="3">
        <v>52.8</v>
      </c>
      <c r="E819" s="3">
        <v>48.5</v>
      </c>
      <c r="F819" s="3">
        <v>49.7</v>
      </c>
      <c r="G819" s="3">
        <v>45.0</v>
      </c>
      <c r="H819" s="3">
        <v>47.0</v>
      </c>
      <c r="I819" s="3">
        <v>38.5</v>
      </c>
      <c r="J819" s="3">
        <v>48.5</v>
      </c>
      <c r="K819" s="3">
        <v>46.5</v>
      </c>
      <c r="L819" s="3">
        <v>49.0</v>
      </c>
      <c r="M819" s="12">
        <f>(PMI!$D819+PMI!$E819)/2</f>
        <v>50.65</v>
      </c>
      <c r="N819" s="12">
        <f>(PMI!$F819+PMI!$G819+PMI!$I819+PMI!$L819)/4</f>
        <v>45.55</v>
      </c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10">
        <v>42430.0</v>
      </c>
      <c r="B820" s="3">
        <v>51.8</v>
      </c>
      <c r="C820" s="3">
        <v>58.3</v>
      </c>
      <c r="D820" s="3">
        <v>55.3</v>
      </c>
      <c r="E820" s="3">
        <v>48.1</v>
      </c>
      <c r="F820" s="3">
        <v>50.2</v>
      </c>
      <c r="G820" s="3">
        <v>47.0</v>
      </c>
      <c r="H820" s="3">
        <v>49.0</v>
      </c>
      <c r="I820" s="3">
        <v>51.5</v>
      </c>
      <c r="J820" s="3">
        <v>51.0</v>
      </c>
      <c r="K820" s="3">
        <v>52.0</v>
      </c>
      <c r="L820" s="3">
        <v>49.5</v>
      </c>
      <c r="M820" s="12">
        <f>(PMI!$D820+PMI!$E820)/2</f>
        <v>51.7</v>
      </c>
      <c r="N820" s="12">
        <f>(PMI!$F820+PMI!$G820+PMI!$I820+PMI!$L820)/4</f>
        <v>49.55</v>
      </c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10">
        <v>42461.0</v>
      </c>
      <c r="B821" s="3">
        <v>50.8</v>
      </c>
      <c r="C821" s="3">
        <v>55.8</v>
      </c>
      <c r="D821" s="3">
        <v>54.2</v>
      </c>
      <c r="E821" s="3">
        <v>49.2</v>
      </c>
      <c r="F821" s="3">
        <v>49.1</v>
      </c>
      <c r="G821" s="3">
        <v>45.5</v>
      </c>
      <c r="H821" s="3">
        <v>46.0</v>
      </c>
      <c r="I821" s="3">
        <v>59.0</v>
      </c>
      <c r="J821" s="3">
        <v>50.5</v>
      </c>
      <c r="K821" s="3">
        <v>52.5</v>
      </c>
      <c r="L821" s="3">
        <v>50.0</v>
      </c>
      <c r="M821" s="12">
        <f>(PMI!$D821+PMI!$E821)/2</f>
        <v>51.7</v>
      </c>
      <c r="N821" s="12">
        <f>(PMI!$F821+PMI!$G821+PMI!$I821+PMI!$L821)/4</f>
        <v>50.9</v>
      </c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10">
        <v>42491.0</v>
      </c>
      <c r="B822" s="3">
        <v>51.3</v>
      </c>
      <c r="C822" s="3">
        <v>55.7</v>
      </c>
      <c r="D822" s="3">
        <v>52.6</v>
      </c>
      <c r="E822" s="3">
        <v>49.2</v>
      </c>
      <c r="F822" s="3">
        <v>54.1</v>
      </c>
      <c r="G822" s="3">
        <v>45.0</v>
      </c>
      <c r="H822" s="3">
        <v>50.0</v>
      </c>
      <c r="I822" s="3">
        <v>63.5</v>
      </c>
      <c r="J822" s="3">
        <v>47.0</v>
      </c>
      <c r="K822" s="3">
        <v>52.5</v>
      </c>
      <c r="L822" s="3">
        <v>50.0</v>
      </c>
      <c r="M822" s="12">
        <f>(PMI!$D822+PMI!$E822)/2</f>
        <v>50.9</v>
      </c>
      <c r="N822" s="12">
        <f>(PMI!$F822+PMI!$G822+PMI!$I822+PMI!$L822)/4</f>
        <v>53.15</v>
      </c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10">
        <v>42522.0</v>
      </c>
      <c r="B823" s="3">
        <v>52.8</v>
      </c>
      <c r="C823" s="3">
        <v>57.0</v>
      </c>
      <c r="D823" s="3">
        <v>54.7</v>
      </c>
      <c r="E823" s="3">
        <v>50.4</v>
      </c>
      <c r="F823" s="3">
        <v>55.4</v>
      </c>
      <c r="G823" s="3">
        <v>48.5</v>
      </c>
      <c r="H823" s="3">
        <v>51.0</v>
      </c>
      <c r="I823" s="3">
        <v>60.5</v>
      </c>
      <c r="J823" s="3">
        <v>52.5</v>
      </c>
      <c r="K823" s="3">
        <v>53.5</v>
      </c>
      <c r="L823" s="3">
        <v>52.0</v>
      </c>
      <c r="M823" s="12">
        <f>(PMI!$D823+PMI!$E823)/2</f>
        <v>52.55</v>
      </c>
      <c r="N823" s="12">
        <f>(PMI!$F823+PMI!$G823+PMI!$I823+PMI!$L823)/4</f>
        <v>54.1</v>
      </c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10">
        <v>42552.0</v>
      </c>
      <c r="B824" s="3">
        <v>52.3</v>
      </c>
      <c r="C824" s="3">
        <v>56.9</v>
      </c>
      <c r="D824" s="3">
        <v>55.4</v>
      </c>
      <c r="E824" s="3">
        <v>49.4</v>
      </c>
      <c r="F824" s="3">
        <v>51.8</v>
      </c>
      <c r="G824" s="3">
        <v>49.5</v>
      </c>
      <c r="H824" s="3">
        <v>51.0</v>
      </c>
      <c r="I824" s="3">
        <v>55.0</v>
      </c>
      <c r="J824" s="3">
        <v>48.0</v>
      </c>
      <c r="K824" s="3">
        <v>52.5</v>
      </c>
      <c r="L824" s="3">
        <v>52.0</v>
      </c>
      <c r="M824" s="12">
        <f>(PMI!$D824+PMI!$E824)/2</f>
        <v>52.4</v>
      </c>
      <c r="N824" s="12">
        <f>(PMI!$F824+PMI!$G824+PMI!$I824+PMI!$L824)/4</f>
        <v>52.075</v>
      </c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10">
        <v>42583.0</v>
      </c>
      <c r="B825" s="3">
        <v>49.4</v>
      </c>
      <c r="C825" s="3">
        <v>49.1</v>
      </c>
      <c r="D825" s="3">
        <v>49.6</v>
      </c>
      <c r="E825" s="3">
        <v>48.3</v>
      </c>
      <c r="F825" s="3">
        <v>50.9</v>
      </c>
      <c r="G825" s="3">
        <v>49.0</v>
      </c>
      <c r="H825" s="3">
        <v>49.5</v>
      </c>
      <c r="I825" s="3">
        <v>53.0</v>
      </c>
      <c r="J825" s="3">
        <v>45.5</v>
      </c>
      <c r="K825" s="3">
        <v>52.5</v>
      </c>
      <c r="L825" s="3">
        <v>47.0</v>
      </c>
      <c r="M825" s="12">
        <f>(PMI!$D825+PMI!$E825)/2</f>
        <v>48.95</v>
      </c>
      <c r="N825" s="12">
        <f>(PMI!$F825+PMI!$G825+PMI!$I825+PMI!$L825)/4</f>
        <v>49.975</v>
      </c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10">
        <v>42614.0</v>
      </c>
      <c r="B826" s="3">
        <v>51.7</v>
      </c>
      <c r="C826" s="3">
        <v>55.1</v>
      </c>
      <c r="D826" s="3">
        <v>52.8</v>
      </c>
      <c r="E826" s="3">
        <v>49.7</v>
      </c>
      <c r="F826" s="3">
        <v>50.3</v>
      </c>
      <c r="G826" s="3">
        <v>49.5</v>
      </c>
      <c r="H826" s="3">
        <v>53.0</v>
      </c>
      <c r="I826" s="3">
        <v>53.0</v>
      </c>
      <c r="J826" s="3">
        <v>49.5</v>
      </c>
      <c r="K826" s="3">
        <v>52.0</v>
      </c>
      <c r="L826" s="3">
        <v>49.0</v>
      </c>
      <c r="M826" s="12">
        <f>(PMI!$D826+PMI!$E826)/2</f>
        <v>51.25</v>
      </c>
      <c r="N826" s="12">
        <f>(PMI!$F826+PMI!$G826+PMI!$I826+PMI!$L826)/4</f>
        <v>50.45</v>
      </c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10">
        <v>42644.0</v>
      </c>
      <c r="B827" s="3">
        <v>52.0</v>
      </c>
      <c r="C827" s="3">
        <v>52.1</v>
      </c>
      <c r="D827" s="3">
        <v>54.6</v>
      </c>
      <c r="E827" s="3">
        <v>52.9</v>
      </c>
      <c r="F827" s="3">
        <v>52.2</v>
      </c>
      <c r="G827" s="3">
        <v>47.5</v>
      </c>
      <c r="H827" s="3">
        <v>49.5</v>
      </c>
      <c r="I827" s="3">
        <v>54.5</v>
      </c>
      <c r="J827" s="3">
        <v>45.5</v>
      </c>
      <c r="K827" s="3">
        <v>52.5</v>
      </c>
      <c r="L827" s="3">
        <v>52.0</v>
      </c>
      <c r="M827" s="12">
        <f>(PMI!$D827+PMI!$E827)/2</f>
        <v>53.75</v>
      </c>
      <c r="N827" s="12">
        <f>(PMI!$F827+PMI!$G827+PMI!$I827+PMI!$L827)/4</f>
        <v>51.55</v>
      </c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10">
        <v>42675.0</v>
      </c>
      <c r="B828" s="3">
        <v>53.5</v>
      </c>
      <c r="C828" s="3">
        <v>53.0</v>
      </c>
      <c r="D828" s="3">
        <v>56.0</v>
      </c>
      <c r="E828" s="3">
        <v>52.3</v>
      </c>
      <c r="F828" s="3">
        <v>55.7</v>
      </c>
      <c r="G828" s="3">
        <v>49.0</v>
      </c>
      <c r="H828" s="3">
        <v>49.0</v>
      </c>
      <c r="I828" s="3">
        <v>54.5</v>
      </c>
      <c r="J828" s="3">
        <v>49.0</v>
      </c>
      <c r="K828" s="3">
        <v>52.0</v>
      </c>
      <c r="L828" s="3">
        <v>50.5</v>
      </c>
      <c r="M828" s="12">
        <f>(PMI!$D828+PMI!$E828)/2</f>
        <v>54.15</v>
      </c>
      <c r="N828" s="12">
        <f>(PMI!$F828+PMI!$G828+PMI!$I828+PMI!$L828)/4</f>
        <v>52.425</v>
      </c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10">
        <v>42705.0</v>
      </c>
      <c r="B829" s="3">
        <v>54.5</v>
      </c>
      <c r="C829" s="3">
        <v>60.3</v>
      </c>
      <c r="D829" s="3">
        <v>59.4</v>
      </c>
      <c r="E829" s="3">
        <v>52.8</v>
      </c>
      <c r="F829" s="3">
        <v>53.0</v>
      </c>
      <c r="G829" s="3">
        <v>47.0</v>
      </c>
      <c r="H829" s="3">
        <v>49.0</v>
      </c>
      <c r="I829" s="3">
        <v>65.5</v>
      </c>
      <c r="J829" s="3">
        <v>49.0</v>
      </c>
      <c r="K829" s="3">
        <v>56.0</v>
      </c>
      <c r="L829" s="3">
        <v>50.5</v>
      </c>
      <c r="M829" s="12">
        <f>(PMI!$D829+PMI!$E829)/2</f>
        <v>56.1</v>
      </c>
      <c r="N829" s="12">
        <f>(PMI!$F829+PMI!$G829+PMI!$I829+PMI!$L829)/4</f>
        <v>54</v>
      </c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10">
        <v>42736.0</v>
      </c>
      <c r="B830" s="3">
        <v>56.0</v>
      </c>
      <c r="C830" s="3">
        <v>60.4</v>
      </c>
      <c r="D830" s="3">
        <v>61.4</v>
      </c>
      <c r="E830" s="3">
        <v>56.1</v>
      </c>
      <c r="F830" s="3">
        <v>53.6</v>
      </c>
      <c r="G830" s="3">
        <v>48.5</v>
      </c>
      <c r="H830" s="3">
        <v>48.5</v>
      </c>
      <c r="I830" s="3">
        <v>69.0</v>
      </c>
      <c r="J830" s="3">
        <v>49.5</v>
      </c>
      <c r="K830" s="3">
        <v>54.5</v>
      </c>
      <c r="L830" s="3">
        <v>50.0</v>
      </c>
      <c r="M830" s="12">
        <f>(PMI!$D830+PMI!$E830)/2</f>
        <v>58.75</v>
      </c>
      <c r="N830" s="12">
        <f>(PMI!$F830+PMI!$G830+PMI!$I830+PMI!$L830)/4</f>
        <v>55.275</v>
      </c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10">
        <v>42767.0</v>
      </c>
      <c r="B831" s="3">
        <v>57.6</v>
      </c>
      <c r="C831" s="3">
        <v>65.1</v>
      </c>
      <c r="D831" s="3">
        <v>62.9</v>
      </c>
      <c r="E831" s="3">
        <v>54.2</v>
      </c>
      <c r="F831" s="3">
        <v>54.8</v>
      </c>
      <c r="G831" s="3">
        <v>51.5</v>
      </c>
      <c r="H831" s="3">
        <v>47.5</v>
      </c>
      <c r="I831" s="3">
        <v>68.0</v>
      </c>
      <c r="J831" s="3">
        <v>57.0</v>
      </c>
      <c r="K831" s="3">
        <v>55.0</v>
      </c>
      <c r="L831" s="3">
        <v>54.0</v>
      </c>
      <c r="M831" s="12">
        <f>(PMI!$D831+PMI!$E831)/2</f>
        <v>58.55</v>
      </c>
      <c r="N831" s="12">
        <f>(PMI!$F831+PMI!$G831+PMI!$I831+PMI!$L831)/4</f>
        <v>57.075</v>
      </c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10">
        <v>42795.0</v>
      </c>
      <c r="B832" s="3">
        <v>56.6</v>
      </c>
      <c r="C832" s="3">
        <v>64.5</v>
      </c>
      <c r="D832" s="3">
        <v>57.6</v>
      </c>
      <c r="E832" s="3">
        <v>58.9</v>
      </c>
      <c r="F832" s="3">
        <v>55.9</v>
      </c>
      <c r="G832" s="3">
        <v>49.0</v>
      </c>
      <c r="H832" s="3">
        <v>47.0</v>
      </c>
      <c r="I832" s="3">
        <v>70.5</v>
      </c>
      <c r="J832" s="3">
        <v>57.5</v>
      </c>
      <c r="K832" s="3">
        <v>59.0</v>
      </c>
      <c r="L832" s="3">
        <v>53.5</v>
      </c>
      <c r="M832" s="12">
        <f>(PMI!$D832+PMI!$E832)/2</f>
        <v>58.25</v>
      </c>
      <c r="N832" s="12">
        <f>(PMI!$F832+PMI!$G832+PMI!$I832+PMI!$L832)/4</f>
        <v>57.225</v>
      </c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10">
        <v>42826.0</v>
      </c>
      <c r="B833" s="3">
        <v>55.3</v>
      </c>
      <c r="C833" s="3">
        <v>57.5</v>
      </c>
      <c r="D833" s="3">
        <v>58.6</v>
      </c>
      <c r="E833" s="3">
        <v>52.0</v>
      </c>
      <c r="F833" s="3">
        <v>55.1</v>
      </c>
      <c r="G833" s="3">
        <v>51.0</v>
      </c>
      <c r="H833" s="3">
        <v>45.5</v>
      </c>
      <c r="I833" s="3">
        <v>68.5</v>
      </c>
      <c r="J833" s="3">
        <v>57.0</v>
      </c>
      <c r="K833" s="3">
        <v>59.5</v>
      </c>
      <c r="L833" s="3">
        <v>55.5</v>
      </c>
      <c r="M833" s="12">
        <f>(PMI!$D833+PMI!$E833)/2</f>
        <v>55.3</v>
      </c>
      <c r="N833" s="12">
        <f>(PMI!$F833+PMI!$G833+PMI!$I833+PMI!$L833)/4</f>
        <v>57.525</v>
      </c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10">
        <v>42856.0</v>
      </c>
      <c r="B834" s="3">
        <v>55.5</v>
      </c>
      <c r="C834" s="3">
        <v>59.5</v>
      </c>
      <c r="D834" s="3">
        <v>57.1</v>
      </c>
      <c r="E834" s="3">
        <v>53.5</v>
      </c>
      <c r="F834" s="3">
        <v>53.1</v>
      </c>
      <c r="G834" s="3">
        <v>51.5</v>
      </c>
      <c r="H834" s="3">
        <v>49.5</v>
      </c>
      <c r="I834" s="3">
        <v>60.5</v>
      </c>
      <c r="J834" s="3">
        <v>55.0</v>
      </c>
      <c r="K834" s="3">
        <v>57.5</v>
      </c>
      <c r="L834" s="3">
        <v>53.5</v>
      </c>
      <c r="M834" s="12">
        <f>(PMI!$D834+PMI!$E834)/2</f>
        <v>55.3</v>
      </c>
      <c r="N834" s="12">
        <f>(PMI!$F834+PMI!$G834+PMI!$I834+PMI!$L834)/4</f>
        <v>54.65</v>
      </c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10">
        <v>42887.0</v>
      </c>
      <c r="B835" s="3">
        <v>56.7</v>
      </c>
      <c r="C835" s="3">
        <v>63.5</v>
      </c>
      <c r="D835" s="3">
        <v>62.4</v>
      </c>
      <c r="E835" s="3">
        <v>57.2</v>
      </c>
      <c r="F835" s="3">
        <v>57.0</v>
      </c>
      <c r="G835" s="3">
        <v>49.0</v>
      </c>
      <c r="H835" s="3">
        <v>50.5</v>
      </c>
      <c r="I835" s="3">
        <v>55.0</v>
      </c>
      <c r="J835" s="3">
        <v>57.0</v>
      </c>
      <c r="K835" s="3">
        <v>59.5</v>
      </c>
      <c r="L835" s="3">
        <v>54.0</v>
      </c>
      <c r="M835" s="12">
        <f>(PMI!$D835+PMI!$E835)/2</f>
        <v>59.8</v>
      </c>
      <c r="N835" s="12">
        <f>(PMI!$F835+PMI!$G835+PMI!$I835+PMI!$L835)/4</f>
        <v>53.75</v>
      </c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10">
        <v>42917.0</v>
      </c>
      <c r="B836" s="3">
        <v>56.5</v>
      </c>
      <c r="C836" s="3">
        <v>60.4</v>
      </c>
      <c r="D836" s="3">
        <v>60.6</v>
      </c>
      <c r="E836" s="3">
        <v>55.2</v>
      </c>
      <c r="F836" s="3">
        <v>55.4</v>
      </c>
      <c r="G836" s="3">
        <v>50.0</v>
      </c>
      <c r="H836" s="3">
        <v>49.0</v>
      </c>
      <c r="I836" s="3">
        <v>62.0</v>
      </c>
      <c r="J836" s="3">
        <v>55.0</v>
      </c>
      <c r="K836" s="3">
        <v>57.5</v>
      </c>
      <c r="L836" s="3">
        <v>56.0</v>
      </c>
      <c r="M836" s="12">
        <f>(PMI!$D836+PMI!$E836)/2</f>
        <v>57.9</v>
      </c>
      <c r="N836" s="12">
        <f>(PMI!$F836+PMI!$G836+PMI!$I836+PMI!$L836)/4</f>
        <v>55.85</v>
      </c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10">
        <v>42948.0</v>
      </c>
      <c r="B837" s="3">
        <v>59.3</v>
      </c>
      <c r="C837" s="3">
        <v>60.3</v>
      </c>
      <c r="D837" s="3">
        <v>61.0</v>
      </c>
      <c r="E837" s="3">
        <v>59.9</v>
      </c>
      <c r="F837" s="3">
        <v>57.1</v>
      </c>
      <c r="G837" s="3">
        <v>55.5</v>
      </c>
      <c r="H837" s="3">
        <v>41.0</v>
      </c>
      <c r="I837" s="3">
        <v>62.0</v>
      </c>
      <c r="J837" s="3">
        <v>57.5</v>
      </c>
      <c r="K837" s="3">
        <v>55.5</v>
      </c>
      <c r="L837" s="3">
        <v>54.5</v>
      </c>
      <c r="M837" s="12">
        <f>(PMI!$D837+PMI!$E837)/2</f>
        <v>60.45</v>
      </c>
      <c r="N837" s="12">
        <f>(PMI!$F837+PMI!$G837+PMI!$I837+PMI!$L837)/4</f>
        <v>57.275</v>
      </c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10">
        <v>42979.0</v>
      </c>
      <c r="B838" s="3">
        <v>60.2</v>
      </c>
      <c r="C838" s="3">
        <v>64.6</v>
      </c>
      <c r="D838" s="3">
        <v>62.2</v>
      </c>
      <c r="E838" s="3">
        <v>60.3</v>
      </c>
      <c r="F838" s="3">
        <v>64.4</v>
      </c>
      <c r="G838" s="3">
        <v>52.5</v>
      </c>
      <c r="H838" s="3">
        <v>42.0</v>
      </c>
      <c r="I838" s="3">
        <v>71.5</v>
      </c>
      <c r="J838" s="3">
        <v>58.0</v>
      </c>
      <c r="K838" s="3">
        <v>57.0</v>
      </c>
      <c r="L838" s="3">
        <v>54.0</v>
      </c>
      <c r="M838" s="12">
        <f>(PMI!$D838+PMI!$E838)/2</f>
        <v>61.25</v>
      </c>
      <c r="N838" s="12">
        <f>(PMI!$F838+PMI!$G838+PMI!$I838+PMI!$L838)/4</f>
        <v>60.6</v>
      </c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10">
        <v>43009.0</v>
      </c>
      <c r="B839" s="3">
        <v>58.5</v>
      </c>
      <c r="C839" s="3">
        <v>63.4</v>
      </c>
      <c r="D839" s="3">
        <v>61.0</v>
      </c>
      <c r="E839" s="3">
        <v>59.8</v>
      </c>
      <c r="F839" s="3">
        <v>61.4</v>
      </c>
      <c r="G839" s="3">
        <v>48.0</v>
      </c>
      <c r="H839" s="3">
        <v>43.5</v>
      </c>
      <c r="I839" s="3">
        <v>68.5</v>
      </c>
      <c r="J839" s="3">
        <v>55.0</v>
      </c>
      <c r="K839" s="3">
        <v>56.5</v>
      </c>
      <c r="L839" s="3">
        <v>54.0</v>
      </c>
      <c r="M839" s="12">
        <f>(PMI!$D839+PMI!$E839)/2</f>
        <v>60.4</v>
      </c>
      <c r="N839" s="12">
        <f>(PMI!$F839+PMI!$G839+PMI!$I839+PMI!$L839)/4</f>
        <v>57.975</v>
      </c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10">
        <v>43040.0</v>
      </c>
      <c r="B840" s="3">
        <v>58.2</v>
      </c>
      <c r="C840" s="3">
        <v>64.0</v>
      </c>
      <c r="D840" s="3">
        <v>63.9</v>
      </c>
      <c r="E840" s="3">
        <v>59.7</v>
      </c>
      <c r="F840" s="3">
        <v>56.5</v>
      </c>
      <c r="G840" s="3">
        <v>47.0</v>
      </c>
      <c r="H840" s="3">
        <v>45.5</v>
      </c>
      <c r="I840" s="3">
        <v>65.5</v>
      </c>
      <c r="J840" s="3">
        <v>55.0</v>
      </c>
      <c r="K840" s="3">
        <v>56.0</v>
      </c>
      <c r="L840" s="3">
        <v>54.5</v>
      </c>
      <c r="M840" s="12">
        <f>(PMI!$D840+PMI!$E840)/2</f>
        <v>61.8</v>
      </c>
      <c r="N840" s="12">
        <f>(PMI!$F840+PMI!$G840+PMI!$I840+PMI!$L840)/4</f>
        <v>55.875</v>
      </c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10">
        <v>43070.0</v>
      </c>
      <c r="B841" s="3">
        <v>59.3</v>
      </c>
      <c r="C841" s="3">
        <v>67.4</v>
      </c>
      <c r="D841" s="3">
        <v>65.2</v>
      </c>
      <c r="E841" s="3">
        <v>58.1</v>
      </c>
      <c r="F841" s="3">
        <v>57.2</v>
      </c>
      <c r="G841" s="3">
        <v>48.5</v>
      </c>
      <c r="H841" s="3">
        <v>42.9</v>
      </c>
      <c r="I841" s="3">
        <v>68.3</v>
      </c>
      <c r="J841" s="3">
        <v>54.9</v>
      </c>
      <c r="K841" s="3">
        <v>57.6</v>
      </c>
      <c r="L841" s="3">
        <v>56.5</v>
      </c>
      <c r="M841" s="12">
        <f>(PMI!$D841+PMI!$E841)/2</f>
        <v>61.65</v>
      </c>
      <c r="N841" s="12">
        <f>(PMI!$F841+PMI!$G841+PMI!$I841+PMI!$L841)/4</f>
        <v>57.625</v>
      </c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10">
        <v>43101.0</v>
      </c>
      <c r="B842" s="3">
        <v>59.1</v>
      </c>
      <c r="C842" s="3">
        <v>65.4</v>
      </c>
      <c r="D842" s="3">
        <v>64.5</v>
      </c>
      <c r="E842" s="3">
        <v>54.2</v>
      </c>
      <c r="F842" s="3">
        <v>59.1</v>
      </c>
      <c r="G842" s="3">
        <v>52.3</v>
      </c>
      <c r="H842" s="3">
        <v>45.6</v>
      </c>
      <c r="I842" s="3">
        <v>72.7</v>
      </c>
      <c r="J842" s="3">
        <v>56.2</v>
      </c>
      <c r="K842" s="3">
        <v>59.8</v>
      </c>
      <c r="L842" s="3">
        <v>58.4</v>
      </c>
      <c r="M842" s="12">
        <f>(PMI!$D842+PMI!$E842)/2</f>
        <v>59.35</v>
      </c>
      <c r="N842" s="12">
        <f>(PMI!$F842+PMI!$G842+PMI!$I842+PMI!$L842)/4</f>
        <v>60.625</v>
      </c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10">
        <v>43132.0</v>
      </c>
      <c r="B843" s="3">
        <v>60.8</v>
      </c>
      <c r="C843" s="3">
        <v>64.2</v>
      </c>
      <c r="D843" s="3">
        <v>62.0</v>
      </c>
      <c r="E843" s="3">
        <v>59.7</v>
      </c>
      <c r="F843" s="3">
        <v>61.1</v>
      </c>
      <c r="G843" s="3">
        <v>56.7</v>
      </c>
      <c r="H843" s="3">
        <v>43.7</v>
      </c>
      <c r="I843" s="3">
        <v>74.2</v>
      </c>
      <c r="J843" s="3">
        <v>59.8</v>
      </c>
      <c r="K843" s="3">
        <v>62.8</v>
      </c>
      <c r="L843" s="3">
        <v>60.5</v>
      </c>
      <c r="M843" s="12">
        <f>(PMI!$D843+PMI!$E843)/2</f>
        <v>60.85</v>
      </c>
      <c r="N843" s="12">
        <f>(PMI!$F843+PMI!$G843+PMI!$I843+PMI!$L843)/4</f>
        <v>63.125</v>
      </c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10">
        <v>43160.0</v>
      </c>
      <c r="B844" s="3">
        <v>59.3</v>
      </c>
      <c r="C844" s="3">
        <v>61.9</v>
      </c>
      <c r="D844" s="3">
        <v>61.0</v>
      </c>
      <c r="E844" s="3">
        <v>57.3</v>
      </c>
      <c r="F844" s="3">
        <v>60.6</v>
      </c>
      <c r="G844" s="3">
        <v>55.5</v>
      </c>
      <c r="H844" s="3">
        <v>42.0</v>
      </c>
      <c r="I844" s="3">
        <v>78.1</v>
      </c>
      <c r="J844" s="3">
        <v>59.8</v>
      </c>
      <c r="K844" s="3">
        <v>58.7</v>
      </c>
      <c r="L844" s="3">
        <v>59.7</v>
      </c>
      <c r="M844" s="12">
        <f>(PMI!$D844+PMI!$E844)/2</f>
        <v>59.15</v>
      </c>
      <c r="N844" s="12">
        <f>(PMI!$F844+PMI!$G844+PMI!$I844+PMI!$L844)/4</f>
        <v>63.475</v>
      </c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10">
        <v>43191.0</v>
      </c>
      <c r="B845" s="3">
        <v>57.3</v>
      </c>
      <c r="C845" s="3">
        <v>61.2</v>
      </c>
      <c r="D845" s="3">
        <v>57.2</v>
      </c>
      <c r="E845" s="3">
        <v>54.2</v>
      </c>
      <c r="F845" s="3">
        <v>61.1</v>
      </c>
      <c r="G845" s="3">
        <v>52.9</v>
      </c>
      <c r="H845" s="3">
        <v>44.3</v>
      </c>
      <c r="I845" s="3">
        <v>79.3</v>
      </c>
      <c r="J845" s="3">
        <v>62.0</v>
      </c>
      <c r="K845" s="3">
        <v>57.7</v>
      </c>
      <c r="L845" s="3">
        <v>57.8</v>
      </c>
      <c r="M845" s="12">
        <f>(PMI!$D845+PMI!$E845)/2</f>
        <v>55.7</v>
      </c>
      <c r="N845" s="12">
        <f>(PMI!$F845+PMI!$G845+PMI!$I845+PMI!$L845)/4</f>
        <v>62.775</v>
      </c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10">
        <v>43221.0</v>
      </c>
      <c r="B846" s="3">
        <v>58.7</v>
      </c>
      <c r="C846" s="3">
        <v>63.7</v>
      </c>
      <c r="D846" s="3">
        <v>61.5</v>
      </c>
      <c r="E846" s="3">
        <v>56.3</v>
      </c>
      <c r="F846" s="3">
        <v>62.0</v>
      </c>
      <c r="G846" s="3">
        <v>50.2</v>
      </c>
      <c r="H846" s="3">
        <v>39.6</v>
      </c>
      <c r="I846" s="3">
        <v>79.5</v>
      </c>
      <c r="J846" s="3">
        <v>63.5</v>
      </c>
      <c r="K846" s="3">
        <v>55.6</v>
      </c>
      <c r="L846" s="3">
        <v>54.1</v>
      </c>
      <c r="M846" s="12">
        <f>(PMI!$D846+PMI!$E846)/2</f>
        <v>58.9</v>
      </c>
      <c r="N846" s="12">
        <f>(PMI!$F846+PMI!$G846+PMI!$I846+PMI!$L846)/4</f>
        <v>61.45</v>
      </c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10">
        <v>43252.0</v>
      </c>
      <c r="B847" s="3">
        <v>60.2</v>
      </c>
      <c r="C847" s="3">
        <v>63.5</v>
      </c>
      <c r="D847" s="3">
        <v>62.3</v>
      </c>
      <c r="E847" s="3">
        <v>56.0</v>
      </c>
      <c r="F847" s="3">
        <v>68.2</v>
      </c>
      <c r="G847" s="3">
        <v>50.8</v>
      </c>
      <c r="H847" s="3">
        <v>39.7</v>
      </c>
      <c r="I847" s="3">
        <v>76.8</v>
      </c>
      <c r="J847" s="3">
        <v>60.1</v>
      </c>
      <c r="K847" s="3">
        <v>56.3</v>
      </c>
      <c r="L847" s="3">
        <v>59.0</v>
      </c>
      <c r="M847" s="12">
        <f>(PMI!$D847+PMI!$E847)/2</f>
        <v>59.15</v>
      </c>
      <c r="N847" s="12">
        <f>(PMI!$F847+PMI!$G847+PMI!$I847+PMI!$L847)/4</f>
        <v>63.7</v>
      </c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10">
        <v>43282.0</v>
      </c>
      <c r="B848" s="3">
        <v>58.1</v>
      </c>
      <c r="C848" s="3">
        <v>60.2</v>
      </c>
      <c r="D848" s="3">
        <v>58.5</v>
      </c>
      <c r="E848" s="3">
        <v>56.5</v>
      </c>
      <c r="F848" s="3">
        <v>62.1</v>
      </c>
      <c r="G848" s="3">
        <v>53.3</v>
      </c>
      <c r="H848" s="3">
        <v>39.4</v>
      </c>
      <c r="I848" s="3">
        <v>73.2</v>
      </c>
      <c r="J848" s="3">
        <v>54.7</v>
      </c>
      <c r="K848" s="3">
        <v>55.3</v>
      </c>
      <c r="L848" s="3">
        <v>54.7</v>
      </c>
      <c r="M848" s="12">
        <f>(PMI!$D848+PMI!$E848)/2</f>
        <v>57.5</v>
      </c>
      <c r="N848" s="12">
        <f>(PMI!$F848+PMI!$G848+PMI!$I848+PMI!$L848)/4</f>
        <v>60.825</v>
      </c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10">
        <v>43313.0</v>
      </c>
      <c r="B849" s="3">
        <v>61.3</v>
      </c>
      <c r="C849" s="3">
        <v>65.1</v>
      </c>
      <c r="D849" s="3">
        <v>63.3</v>
      </c>
      <c r="E849" s="3">
        <v>58.5</v>
      </c>
      <c r="F849" s="3">
        <v>64.5</v>
      </c>
      <c r="G849" s="3">
        <v>55.4</v>
      </c>
      <c r="H849" s="3">
        <v>41.0</v>
      </c>
      <c r="I849" s="3">
        <v>72.1</v>
      </c>
      <c r="J849" s="3">
        <v>57.5</v>
      </c>
      <c r="K849" s="3">
        <v>55.2</v>
      </c>
      <c r="L849" s="3">
        <v>53.9</v>
      </c>
      <c r="M849" s="12">
        <f>(PMI!$D849+PMI!$E849)/2</f>
        <v>60.9</v>
      </c>
      <c r="N849" s="12">
        <f>(PMI!$F849+PMI!$G849+PMI!$I849+PMI!$L849)/4</f>
        <v>61.475</v>
      </c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10">
        <v>43344.0</v>
      </c>
      <c r="B850" s="3">
        <v>59.8</v>
      </c>
      <c r="C850" s="3">
        <v>61.8</v>
      </c>
      <c r="D850" s="3">
        <v>63.9</v>
      </c>
      <c r="E850" s="3">
        <v>58.8</v>
      </c>
      <c r="F850" s="3">
        <v>61.1</v>
      </c>
      <c r="G850" s="3">
        <v>53.3</v>
      </c>
      <c r="H850" s="3">
        <v>40.5</v>
      </c>
      <c r="I850" s="3">
        <v>66.9</v>
      </c>
      <c r="J850" s="3">
        <v>55.7</v>
      </c>
      <c r="K850" s="3">
        <v>56.0</v>
      </c>
      <c r="L850" s="3">
        <v>54.5</v>
      </c>
      <c r="M850" s="12">
        <f>(PMI!$D850+PMI!$E850)/2</f>
        <v>61.35</v>
      </c>
      <c r="N850" s="12">
        <f>(PMI!$F850+PMI!$G850+PMI!$I850+PMI!$L850)/4</f>
        <v>58.95</v>
      </c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10">
        <v>43374.0</v>
      </c>
      <c r="B851" s="3">
        <v>57.7</v>
      </c>
      <c r="C851" s="3">
        <v>57.4</v>
      </c>
      <c r="D851" s="3">
        <v>59.9</v>
      </c>
      <c r="E851" s="3">
        <v>56.8</v>
      </c>
      <c r="F851" s="3">
        <v>63.8</v>
      </c>
      <c r="G851" s="3">
        <v>50.7</v>
      </c>
      <c r="H851" s="3">
        <v>43.3</v>
      </c>
      <c r="I851" s="3">
        <v>71.6</v>
      </c>
      <c r="J851" s="3">
        <v>55.8</v>
      </c>
      <c r="K851" s="3">
        <v>52.2</v>
      </c>
      <c r="L851" s="3">
        <v>54.3</v>
      </c>
      <c r="M851" s="12">
        <f>(PMI!$D851+PMI!$E851)/2</f>
        <v>58.35</v>
      </c>
      <c r="N851" s="12">
        <f>(PMI!$F851+PMI!$G851+PMI!$I851+PMI!$L851)/4</f>
        <v>60.1</v>
      </c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10">
        <v>43405.0</v>
      </c>
      <c r="B852" s="3">
        <v>55.3</v>
      </c>
      <c r="C852" s="3">
        <v>62.1</v>
      </c>
      <c r="D852" s="3">
        <v>60.6</v>
      </c>
      <c r="E852" s="3">
        <v>58.4</v>
      </c>
      <c r="F852" s="3">
        <v>62.5</v>
      </c>
      <c r="G852" s="3">
        <v>52.9</v>
      </c>
      <c r="H852" s="3">
        <v>41.5</v>
      </c>
      <c r="I852" s="3">
        <v>60.7</v>
      </c>
      <c r="J852" s="3">
        <v>56.4</v>
      </c>
      <c r="K852" s="3">
        <v>52.2</v>
      </c>
      <c r="L852" s="3">
        <v>53.6</v>
      </c>
      <c r="M852" s="12">
        <f>(PMI!$D852+PMI!$E852)/2</f>
        <v>59.5</v>
      </c>
      <c r="N852" s="12">
        <f>(PMI!$F852+PMI!$G852+PMI!$I852+PMI!$L852)/4</f>
        <v>57.425</v>
      </c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10">
        <v>43435.0</v>
      </c>
      <c r="B853" s="3">
        <v>54.1</v>
      </c>
      <c r="C853" s="3">
        <v>51.1</v>
      </c>
      <c r="D853" s="3">
        <v>54.3</v>
      </c>
      <c r="E853" s="3">
        <v>56.2</v>
      </c>
      <c r="F853" s="3">
        <v>57.5</v>
      </c>
      <c r="G853" s="3">
        <v>51.2</v>
      </c>
      <c r="H853" s="3">
        <v>41.7</v>
      </c>
      <c r="I853" s="3">
        <v>54.9</v>
      </c>
      <c r="J853" s="3">
        <v>50.0</v>
      </c>
      <c r="K853" s="3">
        <v>52.8</v>
      </c>
      <c r="L853" s="3">
        <v>52.7</v>
      </c>
      <c r="M853" s="12">
        <f>(PMI!$D853+PMI!$E853)/2</f>
        <v>55.25</v>
      </c>
      <c r="N853" s="12">
        <f>(PMI!$F853+PMI!$G853+PMI!$I853+PMI!$L853)/4</f>
        <v>54.075</v>
      </c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10">
        <v>43466.0</v>
      </c>
      <c r="B854" s="3">
        <v>56.6</v>
      </c>
      <c r="C854" s="3">
        <v>58.2</v>
      </c>
      <c r="D854" s="3">
        <v>60.5</v>
      </c>
      <c r="E854" s="3">
        <v>55.5</v>
      </c>
      <c r="F854" s="3">
        <v>56.2</v>
      </c>
      <c r="G854" s="3">
        <v>52.8</v>
      </c>
      <c r="H854" s="3">
        <v>42.8</v>
      </c>
      <c r="I854" s="3">
        <v>49.3</v>
      </c>
      <c r="J854" s="3">
        <v>50.3</v>
      </c>
      <c r="K854" s="3">
        <v>51.8</v>
      </c>
      <c r="L854" s="3">
        <v>53.8</v>
      </c>
      <c r="M854" s="12">
        <f>(PMI!$D854+PMI!$E854)/2</f>
        <v>58</v>
      </c>
      <c r="N854" s="12">
        <f>(PMI!$F854+PMI!$G854+PMI!$I854+PMI!$L854)/4</f>
        <v>53.025</v>
      </c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10">
        <v>43497.0</v>
      </c>
      <c r="B855" s="3">
        <v>54.2</v>
      </c>
      <c r="C855" s="3">
        <v>55.5</v>
      </c>
      <c r="D855" s="3">
        <v>54.8</v>
      </c>
      <c r="E855" s="3">
        <v>52.3</v>
      </c>
      <c r="F855" s="3">
        <v>54.9</v>
      </c>
      <c r="G855" s="3">
        <v>53.4</v>
      </c>
      <c r="H855" s="3">
        <v>39.0</v>
      </c>
      <c r="I855" s="3">
        <v>49.4</v>
      </c>
      <c r="J855" s="3">
        <v>52.3</v>
      </c>
      <c r="K855" s="3">
        <v>52.8</v>
      </c>
      <c r="L855" s="3">
        <v>55.3</v>
      </c>
      <c r="M855" s="12">
        <f>(PMI!$D855+PMI!$E855)/2</f>
        <v>53.55</v>
      </c>
      <c r="N855" s="12">
        <f>(PMI!$F855+PMI!$G855+PMI!$I855+PMI!$L855)/4</f>
        <v>53.25</v>
      </c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10">
        <v>43525.0</v>
      </c>
      <c r="B856" s="3">
        <v>55.3</v>
      </c>
      <c r="C856" s="3">
        <v>57.4</v>
      </c>
      <c r="D856" s="3">
        <v>55.8</v>
      </c>
      <c r="E856" s="3">
        <v>57.5</v>
      </c>
      <c r="F856" s="3">
        <v>54.2</v>
      </c>
      <c r="G856" s="3">
        <v>51.8</v>
      </c>
      <c r="H856" s="3">
        <v>42.7</v>
      </c>
      <c r="I856" s="3">
        <v>54.3</v>
      </c>
      <c r="J856" s="3">
        <v>50.4</v>
      </c>
      <c r="K856" s="3">
        <v>51.7</v>
      </c>
      <c r="L856" s="3">
        <v>51.1</v>
      </c>
      <c r="M856" s="12">
        <f>(PMI!$D856+PMI!$E856)/2</f>
        <v>56.65</v>
      </c>
      <c r="N856" s="12">
        <f>(PMI!$F856+PMI!$G856+PMI!$I856+PMI!$L856)/4</f>
        <v>52.85</v>
      </c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10">
        <v>43556.0</v>
      </c>
      <c r="B857" s="3">
        <v>52.8</v>
      </c>
      <c r="C857" s="3">
        <v>51.7</v>
      </c>
      <c r="D857" s="3">
        <v>52.3</v>
      </c>
      <c r="E857" s="3">
        <v>52.4</v>
      </c>
      <c r="F857" s="3">
        <v>54.6</v>
      </c>
      <c r="G857" s="3">
        <v>52.9</v>
      </c>
      <c r="H857" s="3">
        <v>42.6</v>
      </c>
      <c r="I857" s="3">
        <v>50.0</v>
      </c>
      <c r="J857" s="3">
        <v>53.9</v>
      </c>
      <c r="K857" s="3">
        <v>49.5</v>
      </c>
      <c r="L857" s="3">
        <v>49.8</v>
      </c>
      <c r="M857" s="12">
        <f>(PMI!$D857+PMI!$E857)/2</f>
        <v>52.35</v>
      </c>
      <c r="N857" s="12">
        <f>(PMI!$F857+PMI!$G857+PMI!$I857+PMI!$L857)/4</f>
        <v>51.825</v>
      </c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10">
        <v>43586.0</v>
      </c>
      <c r="B858" s="3">
        <v>52.1</v>
      </c>
      <c r="C858" s="3">
        <v>52.7</v>
      </c>
      <c r="D858" s="3">
        <v>51.3</v>
      </c>
      <c r="E858" s="3">
        <v>53.7</v>
      </c>
      <c r="F858" s="3">
        <v>52.0</v>
      </c>
      <c r="G858" s="3">
        <v>50.9</v>
      </c>
      <c r="H858" s="3">
        <v>43.7</v>
      </c>
      <c r="I858" s="3">
        <v>53.2</v>
      </c>
      <c r="J858" s="3">
        <v>47.2</v>
      </c>
      <c r="K858" s="3">
        <v>51.0</v>
      </c>
      <c r="L858" s="3">
        <v>49.4</v>
      </c>
      <c r="M858" s="12">
        <f>(PMI!$D858+PMI!$E858)/2</f>
        <v>52.5</v>
      </c>
      <c r="N858" s="12">
        <f>(PMI!$F858+PMI!$G858+PMI!$I858+PMI!$L858)/4</f>
        <v>51.375</v>
      </c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10">
        <v>43617.0</v>
      </c>
      <c r="B859" s="3">
        <v>51.7</v>
      </c>
      <c r="C859" s="3">
        <v>50.0</v>
      </c>
      <c r="D859" s="3">
        <v>54.1</v>
      </c>
      <c r="E859" s="3">
        <v>54.5</v>
      </c>
      <c r="F859" s="3">
        <v>50.7</v>
      </c>
      <c r="G859" s="3">
        <v>49.1</v>
      </c>
      <c r="H859" s="3">
        <v>44.6</v>
      </c>
      <c r="I859" s="3">
        <v>47.9</v>
      </c>
      <c r="J859" s="3">
        <v>47.4</v>
      </c>
      <c r="K859" s="3">
        <v>50.5</v>
      </c>
      <c r="L859" s="3">
        <v>50.0</v>
      </c>
      <c r="M859" s="12">
        <f>(PMI!$D859+PMI!$E859)/2</f>
        <v>54.3</v>
      </c>
      <c r="N859" s="12">
        <f>(PMI!$F859+PMI!$G859+PMI!$I859+PMI!$L859)/4</f>
        <v>49.425</v>
      </c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10">
        <v>43647.0</v>
      </c>
      <c r="B860" s="3">
        <v>51.2</v>
      </c>
      <c r="C860" s="3">
        <v>50.8</v>
      </c>
      <c r="D860" s="3">
        <v>50.8</v>
      </c>
      <c r="E860" s="3">
        <v>51.7</v>
      </c>
      <c r="F860" s="3">
        <v>53.3</v>
      </c>
      <c r="G860" s="3">
        <v>49.5</v>
      </c>
      <c r="H860" s="3">
        <v>45.7</v>
      </c>
      <c r="I860" s="3">
        <v>45.1</v>
      </c>
      <c r="J860" s="3">
        <v>43.1</v>
      </c>
      <c r="K860" s="3">
        <v>48.1</v>
      </c>
      <c r="L860" s="3">
        <v>47.0</v>
      </c>
      <c r="M860" s="12">
        <f>(PMI!$D860+PMI!$E860)/2</f>
        <v>51.25</v>
      </c>
      <c r="N860" s="12">
        <f>(PMI!$F860+PMI!$G860+PMI!$I860+PMI!$L860)/4</f>
        <v>48.725</v>
      </c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10">
        <v>43678.0</v>
      </c>
      <c r="B861" s="3">
        <v>49.1</v>
      </c>
      <c r="C861" s="3">
        <v>47.2</v>
      </c>
      <c r="D861" s="3">
        <v>49.5</v>
      </c>
      <c r="E861" s="3">
        <v>47.4</v>
      </c>
      <c r="F861" s="3">
        <v>51.4</v>
      </c>
      <c r="G861" s="3">
        <v>49.9</v>
      </c>
      <c r="H861" s="3">
        <v>44.9</v>
      </c>
      <c r="I861" s="3">
        <v>46.0</v>
      </c>
      <c r="J861" s="3">
        <v>46.3</v>
      </c>
      <c r="K861" s="3">
        <v>43.3</v>
      </c>
      <c r="L861" s="3">
        <v>46.0</v>
      </c>
      <c r="M861" s="12">
        <f>(PMI!$D861+PMI!$E861)/2</f>
        <v>48.45</v>
      </c>
      <c r="N861" s="12">
        <f>(PMI!$F861+PMI!$G861+PMI!$I861+PMI!$L861)/4</f>
        <v>48.325</v>
      </c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10">
        <v>43709.0</v>
      </c>
      <c r="B862" s="3">
        <v>47.8</v>
      </c>
      <c r="C862" s="3">
        <v>47.3</v>
      </c>
      <c r="D862" s="3">
        <v>47.3</v>
      </c>
      <c r="E862" s="3">
        <v>46.3</v>
      </c>
      <c r="F862" s="3">
        <v>51.1</v>
      </c>
      <c r="G862" s="3">
        <v>46.9</v>
      </c>
      <c r="H862" s="3">
        <v>45.5</v>
      </c>
      <c r="I862" s="3">
        <v>49.7</v>
      </c>
      <c r="J862" s="3">
        <v>45.1</v>
      </c>
      <c r="K862" s="3">
        <v>41.0</v>
      </c>
      <c r="L862" s="3">
        <v>48.1</v>
      </c>
      <c r="M862" s="12">
        <f>(PMI!$D862+PMI!$E862)/2</f>
        <v>46.8</v>
      </c>
      <c r="N862" s="12">
        <f>(PMI!$F862+PMI!$G862+PMI!$I862+PMI!$L862)/4</f>
        <v>48.95</v>
      </c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10">
        <v>43739.0</v>
      </c>
      <c r="B863" s="3">
        <v>48.3</v>
      </c>
      <c r="C863" s="3">
        <v>49.1</v>
      </c>
      <c r="D863" s="3">
        <v>46.2</v>
      </c>
      <c r="E863" s="3">
        <v>47.7</v>
      </c>
      <c r="F863" s="3">
        <v>49.5</v>
      </c>
      <c r="G863" s="3">
        <v>48.9</v>
      </c>
      <c r="H863" s="3">
        <v>47.8</v>
      </c>
      <c r="I863" s="3">
        <v>45.5</v>
      </c>
      <c r="J863" s="3">
        <v>44.1</v>
      </c>
      <c r="K863" s="3">
        <v>50.4</v>
      </c>
      <c r="L863" s="3">
        <v>45.3</v>
      </c>
      <c r="M863" s="12">
        <f>(PMI!$D863+PMI!$E863)/2</f>
        <v>46.95</v>
      </c>
      <c r="N863" s="12">
        <f>(PMI!$F863+PMI!$G863+PMI!$I863+PMI!$L863)/4</f>
        <v>47.3</v>
      </c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10">
        <v>43770.0</v>
      </c>
      <c r="B864" s="3">
        <v>48.1</v>
      </c>
      <c r="C864" s="3">
        <v>47.2</v>
      </c>
      <c r="D864" s="3">
        <v>49.1</v>
      </c>
      <c r="E864" s="3">
        <v>46.6</v>
      </c>
      <c r="F864" s="3">
        <v>52.0</v>
      </c>
      <c r="G864" s="3">
        <v>45.5</v>
      </c>
      <c r="H864" s="3">
        <v>45.0</v>
      </c>
      <c r="I864" s="3">
        <v>46.7</v>
      </c>
      <c r="J864" s="3">
        <v>43.0</v>
      </c>
      <c r="K864" s="3">
        <v>47.9</v>
      </c>
      <c r="L864" s="3">
        <v>48.3</v>
      </c>
      <c r="M864" s="12">
        <f>(PMI!$D864+PMI!$E864)/2</f>
        <v>47.85</v>
      </c>
      <c r="N864" s="12">
        <f>(PMI!$F864+PMI!$G864+PMI!$I864+PMI!$L864)/4</f>
        <v>48.125</v>
      </c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10">
        <v>43800.0</v>
      </c>
      <c r="B865" s="3">
        <v>47.2</v>
      </c>
      <c r="C865" s="3">
        <v>47.6</v>
      </c>
      <c r="D865" s="3">
        <v>44.8</v>
      </c>
      <c r="E865" s="3">
        <v>45.2</v>
      </c>
      <c r="F865" s="3">
        <v>52.2</v>
      </c>
      <c r="G865" s="3">
        <v>49.2</v>
      </c>
      <c r="H865" s="3">
        <v>41.1</v>
      </c>
      <c r="I865" s="3">
        <v>51.7</v>
      </c>
      <c r="J865" s="3">
        <v>43.3</v>
      </c>
      <c r="K865" s="3">
        <v>47.3</v>
      </c>
      <c r="L865" s="3">
        <v>48.4</v>
      </c>
      <c r="M865" s="12">
        <f>(PMI!$D865+PMI!$E865)/2</f>
        <v>45</v>
      </c>
      <c r="N865" s="12">
        <f>(PMI!$F865+PMI!$G865+PMI!$I865+PMI!$L865)/4</f>
        <v>50.375</v>
      </c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10">
        <v>43831.0</v>
      </c>
      <c r="B866" s="3">
        <v>50.9</v>
      </c>
      <c r="C866" s="3">
        <v>52.0</v>
      </c>
      <c r="D866" s="3">
        <v>54.3</v>
      </c>
      <c r="E866" s="3">
        <v>46.6</v>
      </c>
      <c r="F866" s="3">
        <v>52.9</v>
      </c>
      <c r="G866" s="3">
        <v>48.8</v>
      </c>
      <c r="H866" s="3">
        <v>43.8</v>
      </c>
      <c r="I866" s="3">
        <v>53.3</v>
      </c>
      <c r="J866" s="3">
        <v>45.7</v>
      </c>
      <c r="K866" s="3">
        <v>53.3</v>
      </c>
      <c r="L866" s="3">
        <v>51.3</v>
      </c>
      <c r="M866" s="12">
        <f>(PMI!$D866+PMI!$E866)/2</f>
        <v>50.45</v>
      </c>
      <c r="N866" s="12">
        <f>(PMI!$F866+PMI!$G866+PMI!$I866+PMI!$L866)/4</f>
        <v>51.575</v>
      </c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10">
        <v>43862.0</v>
      </c>
      <c r="B867" s="3">
        <v>50.1</v>
      </c>
      <c r="C867" s="3">
        <v>49.8</v>
      </c>
      <c r="D867" s="3">
        <v>50.3</v>
      </c>
      <c r="E867" s="3">
        <v>46.9</v>
      </c>
      <c r="F867" s="3">
        <v>57.3</v>
      </c>
      <c r="G867" s="3">
        <v>46.5</v>
      </c>
      <c r="H867" s="3">
        <v>41.8</v>
      </c>
      <c r="I867" s="3">
        <v>45.9</v>
      </c>
      <c r="J867" s="3">
        <v>50.3</v>
      </c>
      <c r="K867" s="3">
        <v>51.2</v>
      </c>
      <c r="L867" s="3">
        <v>42.6</v>
      </c>
      <c r="M867" s="12">
        <f>(PMI!$D867+PMI!$E867)/2</f>
        <v>48.6</v>
      </c>
      <c r="N867" s="12">
        <f>(PMI!$F867+PMI!$G867+PMI!$I867+PMI!$L867)/4</f>
        <v>48.075</v>
      </c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10">
        <v>43891.0</v>
      </c>
      <c r="B868" s="3">
        <v>49.1</v>
      </c>
      <c r="C868" s="3">
        <v>42.2</v>
      </c>
      <c r="D868" s="3">
        <v>47.7</v>
      </c>
      <c r="E868" s="3">
        <v>43.8</v>
      </c>
      <c r="F868" s="3">
        <v>65.0</v>
      </c>
      <c r="G868" s="3">
        <v>46.9</v>
      </c>
      <c r="H868" s="3">
        <v>43.4</v>
      </c>
      <c r="I868" s="3">
        <v>37.4</v>
      </c>
      <c r="J868" s="3">
        <v>45.9</v>
      </c>
      <c r="K868" s="3">
        <v>46.6</v>
      </c>
      <c r="L868" s="3">
        <v>42.1</v>
      </c>
      <c r="M868" s="12">
        <f>(PMI!$D868+PMI!$E868)/2</f>
        <v>45.75</v>
      </c>
      <c r="N868" s="12">
        <f>(PMI!$F868+PMI!$G868+PMI!$I868+PMI!$L868)/4</f>
        <v>47.85</v>
      </c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10">
        <v>43922.0</v>
      </c>
      <c r="B869" s="3">
        <v>41.5</v>
      </c>
      <c r="C869" s="3">
        <v>27.1</v>
      </c>
      <c r="D869" s="3">
        <v>27.5</v>
      </c>
      <c r="E869" s="3">
        <v>27.5</v>
      </c>
      <c r="F869" s="3">
        <v>76.0</v>
      </c>
      <c r="G869" s="3">
        <v>49.7</v>
      </c>
      <c r="H869" s="3">
        <v>48.8</v>
      </c>
      <c r="I869" s="3">
        <v>35.5</v>
      </c>
      <c r="J869" s="3">
        <v>37.8</v>
      </c>
      <c r="K869" s="3">
        <v>35.3</v>
      </c>
      <c r="L869" s="3">
        <v>42.7</v>
      </c>
      <c r="M869" s="12">
        <f>(PMI!$D869+PMI!$E869)/2</f>
        <v>27.5</v>
      </c>
      <c r="N869" s="12">
        <f>(PMI!$F869+PMI!$G869+PMI!$I869+PMI!$L869)/4</f>
        <v>50.975</v>
      </c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10">
        <v>43952.0</v>
      </c>
      <c r="B870" s="3">
        <v>43.1</v>
      </c>
      <c r="C870" s="3">
        <v>31.8</v>
      </c>
      <c r="D870" s="3">
        <v>33.2</v>
      </c>
      <c r="E870" s="3">
        <v>32.1</v>
      </c>
      <c r="F870" s="3">
        <v>68.0</v>
      </c>
      <c r="G870" s="3">
        <v>50.4</v>
      </c>
      <c r="H870" s="3">
        <v>46.2</v>
      </c>
      <c r="I870" s="3">
        <v>40.8</v>
      </c>
      <c r="J870" s="3">
        <v>38.2</v>
      </c>
      <c r="K870" s="3">
        <v>39.5</v>
      </c>
      <c r="L870" s="3">
        <v>41.3</v>
      </c>
      <c r="M870" s="12">
        <f>(PMI!$D870+PMI!$E870)/2</f>
        <v>32.65</v>
      </c>
      <c r="N870" s="12">
        <f>(PMI!$F870+PMI!$G870+PMI!$I870+PMI!$L870)/4</f>
        <v>50.125</v>
      </c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10">
        <v>43983.0</v>
      </c>
      <c r="B871" s="3">
        <v>52.6</v>
      </c>
      <c r="C871" s="3">
        <v>56.4</v>
      </c>
      <c r="D871" s="3">
        <v>57.3</v>
      </c>
      <c r="E871" s="3">
        <v>42.1</v>
      </c>
      <c r="F871" s="3">
        <v>56.9</v>
      </c>
      <c r="G871" s="3">
        <v>50.5</v>
      </c>
      <c r="H871" s="3">
        <v>44.6</v>
      </c>
      <c r="I871" s="3">
        <v>51.3</v>
      </c>
      <c r="J871" s="3">
        <v>45.3</v>
      </c>
      <c r="K871" s="3">
        <v>47.6</v>
      </c>
      <c r="L871" s="3">
        <v>48.8</v>
      </c>
      <c r="M871" s="12">
        <f>(PMI!$D871+PMI!$E871)/2</f>
        <v>49.7</v>
      </c>
      <c r="N871" s="12">
        <f>(PMI!$F871+PMI!$G871+PMI!$I871+PMI!$L871)/4</f>
        <v>51.875</v>
      </c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10">
        <v>44013.0</v>
      </c>
      <c r="B872" s="3">
        <v>54.2</v>
      </c>
      <c r="C872" s="3">
        <v>61.5</v>
      </c>
      <c r="D872" s="3">
        <v>62.1</v>
      </c>
      <c r="E872" s="3">
        <v>44.3</v>
      </c>
      <c r="F872" s="3">
        <v>55.8</v>
      </c>
      <c r="G872" s="3">
        <v>47.0</v>
      </c>
      <c r="H872" s="3">
        <v>41.6</v>
      </c>
      <c r="I872" s="3">
        <v>53.2</v>
      </c>
      <c r="J872" s="3">
        <v>51.8</v>
      </c>
      <c r="K872" s="3">
        <v>50.4</v>
      </c>
      <c r="L872" s="3">
        <v>53.1</v>
      </c>
      <c r="M872" s="12">
        <f>(PMI!$D872+PMI!$E872)/2</f>
        <v>53.2</v>
      </c>
      <c r="N872" s="12">
        <f>(PMI!$F872+PMI!$G872+PMI!$I872+PMI!$L872)/4</f>
        <v>52.275</v>
      </c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10">
        <v>44044.0</v>
      </c>
      <c r="B873" s="3">
        <v>56.0</v>
      </c>
      <c r="C873" s="3">
        <v>67.6</v>
      </c>
      <c r="D873" s="3">
        <v>63.3</v>
      </c>
      <c r="E873" s="3">
        <v>46.4</v>
      </c>
      <c r="F873" s="3">
        <v>58.2</v>
      </c>
      <c r="G873" s="3">
        <v>44.4</v>
      </c>
      <c r="H873" s="3">
        <v>38.1</v>
      </c>
      <c r="I873" s="3">
        <v>59.5</v>
      </c>
      <c r="J873" s="3">
        <v>54.6</v>
      </c>
      <c r="K873" s="3">
        <v>53.3</v>
      </c>
      <c r="L873" s="3">
        <v>55.6</v>
      </c>
      <c r="M873" s="12">
        <f>(PMI!$D873+PMI!$E873)/2</f>
        <v>54.85</v>
      </c>
      <c r="N873" s="12">
        <f>(PMI!$F873+PMI!$G873+PMI!$I873+PMI!$L873)/4</f>
        <v>54.425</v>
      </c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10">
        <v>44075.0</v>
      </c>
      <c r="B874" s="3">
        <v>55.4</v>
      </c>
      <c r="C874" s="3">
        <v>60.2</v>
      </c>
      <c r="D874" s="3">
        <v>61.0</v>
      </c>
      <c r="E874" s="3">
        <v>49.6</v>
      </c>
      <c r="F874" s="3">
        <v>59.0</v>
      </c>
      <c r="G874" s="3">
        <v>47.1</v>
      </c>
      <c r="H874" s="3">
        <v>37.9</v>
      </c>
      <c r="I874" s="3">
        <v>62.8</v>
      </c>
      <c r="J874" s="3">
        <v>52.2</v>
      </c>
      <c r="K874" s="3">
        <v>54.3</v>
      </c>
      <c r="L874" s="3">
        <v>54.0</v>
      </c>
      <c r="M874" s="12">
        <f>(PMI!$D874+PMI!$E874)/2</f>
        <v>55.3</v>
      </c>
      <c r="N874" s="12">
        <f>(PMI!$F874+PMI!$G874+PMI!$I874+PMI!$L874)/4</f>
        <v>55.725</v>
      </c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10">
        <v>44105.0</v>
      </c>
      <c r="B875" s="3">
        <v>59.3</v>
      </c>
      <c r="C875" s="3">
        <v>67.9</v>
      </c>
      <c r="D875" s="3">
        <v>63.0</v>
      </c>
      <c r="E875" s="3">
        <v>53.2</v>
      </c>
      <c r="F875" s="3">
        <v>60.5</v>
      </c>
      <c r="G875" s="3">
        <v>51.9</v>
      </c>
      <c r="H875" s="3">
        <v>36.7</v>
      </c>
      <c r="I875" s="3">
        <v>65.5</v>
      </c>
      <c r="J875" s="3">
        <v>55.7</v>
      </c>
      <c r="K875" s="3">
        <v>55.7</v>
      </c>
      <c r="L875" s="3">
        <v>58.1</v>
      </c>
      <c r="M875" s="12">
        <f>(PMI!$D875+PMI!$E875)/2</f>
        <v>58.1</v>
      </c>
      <c r="N875" s="12">
        <f>(PMI!$F875+PMI!$G875+PMI!$I875+PMI!$L875)/4</f>
        <v>59</v>
      </c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10">
        <v>44136.0</v>
      </c>
      <c r="B876" s="3">
        <v>57.5</v>
      </c>
      <c r="C876" s="3">
        <v>65.1</v>
      </c>
      <c r="D876" s="3">
        <v>60.8</v>
      </c>
      <c r="E876" s="3">
        <v>48.4</v>
      </c>
      <c r="F876" s="3">
        <v>61.7</v>
      </c>
      <c r="G876" s="3">
        <v>51.2</v>
      </c>
      <c r="H876" s="3">
        <v>36.3</v>
      </c>
      <c r="I876" s="3">
        <v>65.4</v>
      </c>
      <c r="J876" s="3">
        <v>56.9</v>
      </c>
      <c r="K876" s="3">
        <v>57.8</v>
      </c>
      <c r="L876" s="3">
        <v>55.1</v>
      </c>
      <c r="M876" s="12">
        <f>(PMI!$D876+PMI!$E876)/2</f>
        <v>54.6</v>
      </c>
      <c r="N876" s="12">
        <f>(PMI!$F876+PMI!$G876+PMI!$I876+PMI!$L876)/4</f>
        <v>58.35</v>
      </c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10">
        <v>44166.0</v>
      </c>
      <c r="B877" s="3">
        <v>60.5</v>
      </c>
      <c r="C877" s="3">
        <v>67.5</v>
      </c>
      <c r="D877" s="3">
        <v>64.7</v>
      </c>
      <c r="E877" s="3">
        <v>51.7</v>
      </c>
      <c r="F877" s="3">
        <v>67.7</v>
      </c>
      <c r="G877" s="3">
        <v>51.0</v>
      </c>
      <c r="H877" s="3">
        <v>37.9</v>
      </c>
      <c r="I877" s="3">
        <v>77.6</v>
      </c>
      <c r="J877" s="3">
        <v>59.1</v>
      </c>
      <c r="K877" s="3">
        <v>57.5</v>
      </c>
      <c r="L877" s="3">
        <v>54.6</v>
      </c>
      <c r="M877" s="12">
        <f>(PMI!$D877+PMI!$E877)/2</f>
        <v>58.2</v>
      </c>
      <c r="N877" s="12">
        <f>(PMI!$F877+PMI!$G877+PMI!$I877+PMI!$L877)/4</f>
        <v>62.725</v>
      </c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10">
        <v>44197.0</v>
      </c>
      <c r="B878" s="3">
        <v>58.7</v>
      </c>
      <c r="C878" s="3">
        <v>61.1</v>
      </c>
      <c r="D878" s="3">
        <v>60.7</v>
      </c>
      <c r="E878" s="3">
        <v>52.6</v>
      </c>
      <c r="F878" s="3">
        <v>68.2</v>
      </c>
      <c r="G878" s="3">
        <v>50.8</v>
      </c>
      <c r="H878" s="3">
        <v>33.1</v>
      </c>
      <c r="I878" s="3">
        <v>82.1</v>
      </c>
      <c r="J878" s="3">
        <v>59.7</v>
      </c>
      <c r="K878" s="3">
        <v>54.9</v>
      </c>
      <c r="L878" s="3">
        <v>56.8</v>
      </c>
      <c r="M878" s="12">
        <f>(PMI!$D878+PMI!$E878)/2</f>
        <v>56.65</v>
      </c>
      <c r="N878" s="12">
        <f>(PMI!$F878+PMI!$G878+PMI!$I878+PMI!$L878)/4</f>
        <v>64.475</v>
      </c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10">
        <v>44228.0</v>
      </c>
      <c r="B879" s="3">
        <v>60.8</v>
      </c>
      <c r="C879" s="3">
        <v>64.8</v>
      </c>
      <c r="D879" s="3">
        <v>63.2</v>
      </c>
      <c r="E879" s="3">
        <v>54.4</v>
      </c>
      <c r="F879" s="3">
        <v>72.0</v>
      </c>
      <c r="G879" s="3">
        <v>49.7</v>
      </c>
      <c r="H879" s="3">
        <v>32.5</v>
      </c>
      <c r="I879" s="3">
        <v>86.0</v>
      </c>
      <c r="J879" s="3">
        <v>64.0</v>
      </c>
      <c r="K879" s="3">
        <v>57.2</v>
      </c>
      <c r="L879" s="3">
        <v>56.1</v>
      </c>
      <c r="M879" s="12">
        <f>(PMI!$D879+PMI!$E879)/2</f>
        <v>58.8</v>
      </c>
      <c r="N879" s="12">
        <f>(PMI!$F879+PMI!$G879+PMI!$I879+PMI!$L879)/4</f>
        <v>65.95</v>
      </c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10">
        <v>44256.0</v>
      </c>
      <c r="B880" s="3">
        <v>64.7</v>
      </c>
      <c r="C880" s="3">
        <v>68.0</v>
      </c>
      <c r="D880" s="3">
        <v>68.1</v>
      </c>
      <c r="E880" s="3">
        <v>59.6</v>
      </c>
      <c r="F880" s="3">
        <v>76.6</v>
      </c>
      <c r="G880" s="3">
        <v>50.8</v>
      </c>
      <c r="H880" s="3">
        <v>29.9</v>
      </c>
      <c r="I880" s="3">
        <v>85.6</v>
      </c>
      <c r="J880" s="3">
        <v>67.5</v>
      </c>
      <c r="K880" s="3">
        <v>54.5</v>
      </c>
      <c r="L880" s="3">
        <v>56.7</v>
      </c>
      <c r="M880" s="12">
        <f>(PMI!$D880+PMI!$E880)/2</f>
        <v>63.85</v>
      </c>
      <c r="N880" s="12">
        <f>(PMI!$F880+PMI!$G880+PMI!$I880+PMI!$L880)/4</f>
        <v>67.425</v>
      </c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10">
        <v>44287.0</v>
      </c>
      <c r="B881" s="3">
        <v>60.7</v>
      </c>
      <c r="C881" s="3">
        <v>64.3</v>
      </c>
      <c r="D881" s="3">
        <v>62.5</v>
      </c>
      <c r="E881" s="3">
        <v>55.1</v>
      </c>
      <c r="F881" s="3">
        <v>75.0</v>
      </c>
      <c r="G881" s="3">
        <v>46.5</v>
      </c>
      <c r="H881" s="3">
        <v>28.4</v>
      </c>
      <c r="I881" s="3">
        <v>89.6</v>
      </c>
      <c r="J881" s="3">
        <v>68.2</v>
      </c>
      <c r="K881" s="3">
        <v>54.9</v>
      </c>
      <c r="L881" s="3">
        <v>52.2</v>
      </c>
      <c r="M881" s="12">
        <f>(PMI!$D881+PMI!$E881)/2</f>
        <v>58.8</v>
      </c>
      <c r="N881" s="12">
        <f>(PMI!$F881+PMI!$G881+PMI!$I881+PMI!$L881)/4</f>
        <v>65.825</v>
      </c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10">
        <v>44317.0</v>
      </c>
      <c r="B882" s="3">
        <v>61.2</v>
      </c>
      <c r="C882" s="3">
        <v>67.0</v>
      </c>
      <c r="D882" s="3">
        <v>58.5</v>
      </c>
      <c r="E882" s="3">
        <v>50.9</v>
      </c>
      <c r="F882" s="3">
        <v>78.8</v>
      </c>
      <c r="G882" s="3">
        <v>50.0</v>
      </c>
      <c r="H882" s="3">
        <v>28.0</v>
      </c>
      <c r="I882" s="3">
        <v>88.0</v>
      </c>
      <c r="J882" s="3">
        <v>70.6</v>
      </c>
      <c r="K882" s="3">
        <v>55.4</v>
      </c>
      <c r="L882" s="3">
        <v>54.0</v>
      </c>
      <c r="M882" s="12">
        <f>(PMI!$D882+PMI!$E882)/2</f>
        <v>54.7</v>
      </c>
      <c r="N882" s="12">
        <f>(PMI!$F882+PMI!$G882+PMI!$I882+PMI!$L882)/4</f>
        <v>67.7</v>
      </c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13">
        <v>44348.0</v>
      </c>
      <c r="B883" s="14">
        <v>60.6</v>
      </c>
      <c r="C883" s="14">
        <v>66.0</v>
      </c>
      <c r="D883" s="14">
        <v>60.8</v>
      </c>
      <c r="E883" s="14">
        <v>49.9</v>
      </c>
      <c r="F883" s="14">
        <v>75.1</v>
      </c>
      <c r="G883" s="14">
        <v>51.1</v>
      </c>
      <c r="H883" s="14">
        <v>30.8</v>
      </c>
      <c r="I883" s="14">
        <v>92.1</v>
      </c>
      <c r="J883" s="14">
        <v>64.5</v>
      </c>
      <c r="K883" s="14">
        <v>56.2</v>
      </c>
      <c r="L883" s="14">
        <v>61.0</v>
      </c>
      <c r="M883" s="15">
        <f>(PMI!$D883+PMI!$E883)/2</f>
        <v>55.35</v>
      </c>
      <c r="N883" s="12">
        <f>(PMI!$F883+PMI!$G883+PMI!$I883+PMI!$L883)/4</f>
        <v>69.825</v>
      </c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10">
        <v>44378.0</v>
      </c>
      <c r="B884" s="3">
        <v>59.5</v>
      </c>
      <c r="C884" s="3">
        <v>64.9</v>
      </c>
      <c r="D884" s="3">
        <v>58.4</v>
      </c>
      <c r="E884" s="3">
        <v>52.9</v>
      </c>
      <c r="F884" s="3">
        <v>72.5</v>
      </c>
      <c r="G884" s="3">
        <v>48.9</v>
      </c>
      <c r="H884" s="3">
        <v>25.0</v>
      </c>
      <c r="I884" s="3">
        <v>85.7</v>
      </c>
      <c r="J884" s="3">
        <v>65.0</v>
      </c>
      <c r="K884" s="3">
        <v>55.7</v>
      </c>
      <c r="L884" s="3">
        <v>53.7</v>
      </c>
      <c r="M884" s="12">
        <f>(PMI!$D884+PMI!$E884)/2</f>
        <v>55.65</v>
      </c>
      <c r="N884" s="12">
        <f>(PMI!$F884+PMI!$G884+PMI!$I884+PMI!$L884)/4</f>
        <v>65.2</v>
      </c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10">
        <v>44409.0</v>
      </c>
      <c r="B885" s="3">
        <v>59.9</v>
      </c>
      <c r="C885" s="3">
        <v>66.7</v>
      </c>
      <c r="D885" s="3">
        <v>60.0</v>
      </c>
      <c r="E885" s="3">
        <v>49.0</v>
      </c>
      <c r="F885" s="3">
        <v>69.5</v>
      </c>
      <c r="G885" s="3">
        <v>54.2</v>
      </c>
      <c r="H885" s="3">
        <v>30.0</v>
      </c>
      <c r="I885" s="3">
        <v>79.4</v>
      </c>
      <c r="J885" s="3">
        <v>68.2</v>
      </c>
      <c r="K885" s="3">
        <v>56.6</v>
      </c>
      <c r="L885" s="3">
        <v>54.3</v>
      </c>
      <c r="M885" s="12">
        <f>(PMI!$D885+PMI!$E885)/2</f>
        <v>54.5</v>
      </c>
      <c r="N885" s="12">
        <f>(PMI!$F885+PMI!$G885+PMI!$I885+PMI!$L885)/4</f>
        <v>64.35</v>
      </c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10">
        <v>44440.0</v>
      </c>
      <c r="B886" s="3">
        <v>61.1</v>
      </c>
      <c r="C886" s="3">
        <v>66.7</v>
      </c>
      <c r="D886" s="3">
        <v>59.4</v>
      </c>
      <c r="E886" s="3">
        <v>50.2</v>
      </c>
      <c r="F886" s="3">
        <v>73.4</v>
      </c>
      <c r="G886" s="3">
        <v>55.6</v>
      </c>
      <c r="H886" s="3">
        <v>31.7</v>
      </c>
      <c r="I886" s="3">
        <v>81.2</v>
      </c>
      <c r="J886" s="3">
        <v>64.8</v>
      </c>
      <c r="K886" s="3">
        <v>53.4</v>
      </c>
      <c r="L886" s="3">
        <v>54.9</v>
      </c>
      <c r="M886" s="12">
        <f>(PMI!$D886+PMI!$E886)/2</f>
        <v>54.8</v>
      </c>
      <c r="N886" s="12">
        <f>(PMI!$F886+PMI!$G886+PMI!$I886+PMI!$L886)/4</f>
        <v>66.275</v>
      </c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10">
        <v>44470.0</v>
      </c>
      <c r="B887" s="3">
        <v>60.8</v>
      </c>
      <c r="C887" s="3">
        <v>59.8</v>
      </c>
      <c r="D887" s="3">
        <v>59.3</v>
      </c>
      <c r="E887" s="3">
        <v>52.0</v>
      </c>
      <c r="F887" s="3">
        <v>75.6</v>
      </c>
      <c r="G887" s="3">
        <v>57.0</v>
      </c>
      <c r="H887" s="3">
        <v>31.7</v>
      </c>
      <c r="I887" s="3">
        <v>85.7</v>
      </c>
      <c r="J887" s="3">
        <v>63.6</v>
      </c>
      <c r="K887" s="3">
        <v>54.6</v>
      </c>
      <c r="L887" s="3">
        <v>49.1</v>
      </c>
      <c r="M887" s="12">
        <f>(PMI!$D887+PMI!$E887)/2</f>
        <v>55.65</v>
      </c>
      <c r="N887" s="12">
        <f>(PMI!$F887+PMI!$G887+PMI!$I887+PMI!$L887)/4</f>
        <v>66.85</v>
      </c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10">
        <v>44501.0</v>
      </c>
      <c r="B888" s="3">
        <v>61.1</v>
      </c>
      <c r="C888" s="3">
        <v>61.5</v>
      </c>
      <c r="D888" s="3">
        <v>61.5</v>
      </c>
      <c r="E888" s="3">
        <v>53.3</v>
      </c>
      <c r="F888" s="3">
        <v>72.2</v>
      </c>
      <c r="G888" s="3">
        <v>56.8</v>
      </c>
      <c r="H888" s="3">
        <v>25.1</v>
      </c>
      <c r="I888" s="3">
        <v>82.4</v>
      </c>
      <c r="J888" s="3">
        <v>61.9</v>
      </c>
      <c r="K888" s="3">
        <v>54.0</v>
      </c>
      <c r="L888" s="3">
        <v>52.6</v>
      </c>
      <c r="M888" s="12">
        <f>(PMI!$D888+PMI!$E888)/2</f>
        <v>57.4</v>
      </c>
      <c r="N888" s="12">
        <f>(PMI!$F888+PMI!$G888+PMI!$I888+PMI!$L888)/4</f>
        <v>66</v>
      </c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10">
        <v>44531.0</v>
      </c>
      <c r="B889" s="3">
        <v>58.7</v>
      </c>
      <c r="C889" s="3">
        <v>60.4</v>
      </c>
      <c r="D889" s="3">
        <v>59.2</v>
      </c>
      <c r="E889" s="3">
        <v>54.2</v>
      </c>
      <c r="F889" s="3">
        <v>64.9</v>
      </c>
      <c r="G889" s="3">
        <v>54.7</v>
      </c>
      <c r="H889" s="3">
        <v>31.7</v>
      </c>
      <c r="I889" s="3">
        <v>68.2</v>
      </c>
      <c r="J889" s="3">
        <v>62.8</v>
      </c>
      <c r="K889" s="3">
        <v>53.6</v>
      </c>
      <c r="L889" s="3">
        <v>53.8</v>
      </c>
      <c r="M889" s="12">
        <f>(PMI!$D889+PMI!$E889)/2</f>
        <v>56.7</v>
      </c>
      <c r="N889" s="12">
        <f>(PMI!$F889+PMI!$G889+PMI!$I889+PMI!$L889)/4</f>
        <v>60.4</v>
      </c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16">
        <v>44562.0</v>
      </c>
      <c r="B890" s="3">
        <v>57.6</v>
      </c>
      <c r="C890" s="3">
        <v>57.9</v>
      </c>
      <c r="D890" s="3">
        <v>57.8</v>
      </c>
      <c r="E890" s="3">
        <v>54.5</v>
      </c>
      <c r="F890" s="3">
        <v>64.6</v>
      </c>
      <c r="G890" s="3">
        <v>53.2</v>
      </c>
      <c r="H890" s="3">
        <v>33.0</v>
      </c>
      <c r="I890" s="3">
        <v>76.1</v>
      </c>
      <c r="J890" s="3">
        <v>56.4</v>
      </c>
      <c r="K890" s="3">
        <v>53.7</v>
      </c>
      <c r="L890" s="3">
        <v>55.1</v>
      </c>
      <c r="M890" s="12">
        <f>(PMI!$D890+PMI!$E890)/2</f>
        <v>56.15</v>
      </c>
      <c r="N890" s="12">
        <f>(PMI!$F890+PMI!$G890+PMI!$I890+PMI!$L890)/4</f>
        <v>62.25</v>
      </c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10">
        <v>44593.0</v>
      </c>
      <c r="B891" s="3">
        <v>58.6</v>
      </c>
      <c r="C891" s="3">
        <v>61.7</v>
      </c>
      <c r="D891" s="3">
        <v>58.5</v>
      </c>
      <c r="E891" s="3">
        <v>52.9</v>
      </c>
      <c r="F891" s="3">
        <v>66.1</v>
      </c>
      <c r="G891" s="3">
        <v>53.6</v>
      </c>
      <c r="H891" s="3">
        <v>31.8</v>
      </c>
      <c r="I891" s="3">
        <v>75.6</v>
      </c>
      <c r="J891" s="3">
        <v>65.0</v>
      </c>
      <c r="K891" s="3">
        <v>57.1</v>
      </c>
      <c r="L891" s="3">
        <v>55.4</v>
      </c>
      <c r="M891" s="12">
        <f>(PMI!$D891+PMI!$E891)/2</f>
        <v>55.7</v>
      </c>
      <c r="N891" s="12">
        <f>(PMI!$F891+PMI!$G891+PMI!$I891+PMI!$L891)/4</f>
        <v>62.675</v>
      </c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16">
        <v>44621.0</v>
      </c>
      <c r="B892" s="3">
        <v>57.1</v>
      </c>
      <c r="C892" s="3">
        <v>53.8</v>
      </c>
      <c r="D892" s="3">
        <v>54.5</v>
      </c>
      <c r="E892" s="3">
        <v>56.3</v>
      </c>
      <c r="F892" s="3">
        <v>65.4</v>
      </c>
      <c r="G892" s="3">
        <v>55.5</v>
      </c>
      <c r="H892" s="3">
        <v>34.1</v>
      </c>
      <c r="I892" s="3">
        <v>87.1</v>
      </c>
      <c r="J892" s="3">
        <v>60.0</v>
      </c>
      <c r="K892" s="3">
        <v>53.2</v>
      </c>
      <c r="L892" s="3">
        <v>51.8</v>
      </c>
      <c r="M892" s="12">
        <f>(PMI!$D892+PMI!$E892)/2</f>
        <v>55.4</v>
      </c>
      <c r="N892" s="12">
        <f>(PMI!$F892+PMI!$G892+PMI!$I892+PMI!$L892)/4</f>
        <v>64.95</v>
      </c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10">
        <v>44652.0</v>
      </c>
      <c r="B893" s="3">
        <v>55.4</v>
      </c>
      <c r="C893" s="3">
        <v>53.5</v>
      </c>
      <c r="D893" s="3">
        <v>53.6</v>
      </c>
      <c r="E893" s="3">
        <v>50.9</v>
      </c>
      <c r="F893" s="3">
        <v>67.2</v>
      </c>
      <c r="G893" s="3">
        <v>51.6</v>
      </c>
      <c r="H893" s="3">
        <v>37.1</v>
      </c>
      <c r="I893" s="3">
        <v>84.6</v>
      </c>
      <c r="J893" s="3">
        <v>56.0</v>
      </c>
      <c r="K893" s="3">
        <v>52.7</v>
      </c>
      <c r="L893" s="3">
        <v>51.4</v>
      </c>
      <c r="M893" s="12">
        <f>(PMI!$D893+PMI!$E893)/2</f>
        <v>52.25</v>
      </c>
      <c r="N893" s="12">
        <f>(PMI!$F893+PMI!$G893+PMI!$I893+PMI!$L893)/4</f>
        <v>63.7</v>
      </c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16">
        <v>44682.0</v>
      </c>
      <c r="B894" s="3">
        <v>56.1</v>
      </c>
      <c r="C894" s="3">
        <v>55.1</v>
      </c>
      <c r="D894" s="3">
        <v>54.2</v>
      </c>
      <c r="E894" s="3">
        <v>49.6</v>
      </c>
      <c r="F894" s="3">
        <v>65.7</v>
      </c>
      <c r="G894" s="3">
        <v>55.0</v>
      </c>
      <c r="H894" s="3">
        <v>32.7</v>
      </c>
      <c r="I894" s="3">
        <v>82.2</v>
      </c>
      <c r="J894" s="3">
        <v>58.7</v>
      </c>
      <c r="K894" s="3">
        <v>52.9</v>
      </c>
      <c r="L894" s="3">
        <v>48.7</v>
      </c>
      <c r="M894" s="12">
        <f>(PMI!$D894+PMI!$E894)/2</f>
        <v>51.9</v>
      </c>
      <c r="N894" s="12">
        <f>(PMI!$F894+PMI!$G894+PMI!$I894+PMI!$L894)/4</f>
        <v>62.9</v>
      </c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10">
        <v>44713.0</v>
      </c>
      <c r="B895" s="3">
        <v>53.0</v>
      </c>
      <c r="C895" s="3">
        <v>49.2</v>
      </c>
      <c r="D895" s="3">
        <v>54.9</v>
      </c>
      <c r="E895" s="3">
        <v>47.3</v>
      </c>
      <c r="F895" s="3">
        <v>57.3</v>
      </c>
      <c r="G895" s="3">
        <v>56.0</v>
      </c>
      <c r="H895" s="3">
        <v>35.2</v>
      </c>
      <c r="I895" s="3">
        <v>78.5</v>
      </c>
      <c r="J895" s="3">
        <v>53.2</v>
      </c>
      <c r="K895" s="3">
        <v>50.7</v>
      </c>
      <c r="L895" s="3">
        <v>50.7</v>
      </c>
      <c r="M895" s="12">
        <f>(PMI!$D895+PMI!$E895)/2</f>
        <v>51.1</v>
      </c>
      <c r="N895" s="12">
        <f>(PMI!$F895+PMI!$G895+PMI!$I895+PMI!$L895)/4</f>
        <v>60.625</v>
      </c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16">
        <v>44743.0</v>
      </c>
      <c r="B896" s="3">
        <v>52.8</v>
      </c>
      <c r="C896" s="3">
        <v>48.0</v>
      </c>
      <c r="D896" s="3">
        <v>53.5</v>
      </c>
      <c r="E896" s="3">
        <v>49.9</v>
      </c>
      <c r="F896" s="3">
        <v>55.2</v>
      </c>
      <c r="G896" s="3">
        <v>57.3</v>
      </c>
      <c r="H896" s="3">
        <v>39.5</v>
      </c>
      <c r="I896" s="3">
        <v>60.0</v>
      </c>
      <c r="J896" s="3">
        <v>51.3</v>
      </c>
      <c r="K896" s="3">
        <v>52.6</v>
      </c>
      <c r="L896" s="3">
        <v>54.4</v>
      </c>
      <c r="M896" s="12">
        <f>(PMI!$D896+PMI!$E896)/2</f>
        <v>51.7</v>
      </c>
      <c r="N896" s="12">
        <f>(PMI!$F896+PMI!$G896+PMI!$I896+PMI!$L896)/4</f>
        <v>56.725</v>
      </c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10">
        <v>44774.0</v>
      </c>
      <c r="B897" s="3">
        <v>52.8</v>
      </c>
      <c r="C897" s="3">
        <v>51.3</v>
      </c>
      <c r="D897" s="3">
        <v>50.4</v>
      </c>
      <c r="E897" s="3">
        <v>54.2</v>
      </c>
      <c r="F897" s="3">
        <v>55.1</v>
      </c>
      <c r="G897" s="3">
        <v>53.1</v>
      </c>
      <c r="H897" s="3">
        <v>38.9</v>
      </c>
      <c r="I897" s="3">
        <v>52.5</v>
      </c>
      <c r="J897" s="3">
        <v>53.0</v>
      </c>
      <c r="K897" s="3">
        <v>49.4</v>
      </c>
      <c r="L897" s="3">
        <v>52.5</v>
      </c>
      <c r="M897" s="12">
        <f>(PMI!$D897+PMI!$E897)/2</f>
        <v>52.3</v>
      </c>
      <c r="N897" s="12">
        <f>(PMI!$F897+PMI!$G897+PMI!$I897+PMI!$L897)/4</f>
        <v>53.3</v>
      </c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16">
        <v>44805.0</v>
      </c>
      <c r="B898" s="3">
        <v>50.9</v>
      </c>
      <c r="C898" s="3">
        <v>47.1</v>
      </c>
      <c r="D898" s="3">
        <v>50.6</v>
      </c>
      <c r="E898" s="3">
        <v>48.7</v>
      </c>
      <c r="F898" s="3">
        <v>52.4</v>
      </c>
      <c r="G898" s="3">
        <v>55.5</v>
      </c>
      <c r="H898" s="3">
        <v>41.6</v>
      </c>
      <c r="I898" s="3">
        <v>51.7</v>
      </c>
      <c r="J898" s="3">
        <v>50.9</v>
      </c>
      <c r="K898" s="3">
        <v>47.8</v>
      </c>
      <c r="L898" s="3">
        <v>52.6</v>
      </c>
      <c r="M898" s="12">
        <f>(PMI!$D898+PMI!$E898)/2</f>
        <v>49.65</v>
      </c>
      <c r="N898" s="12">
        <f>(PMI!$F898+PMI!$G898+PMI!$I898+PMI!$L898)/4</f>
        <v>53.05</v>
      </c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10">
        <v>44835.0</v>
      </c>
      <c r="B899" s="3">
        <v>50.2</v>
      </c>
      <c r="C899" s="3">
        <v>49.2</v>
      </c>
      <c r="D899" s="3">
        <v>52.3</v>
      </c>
      <c r="E899" s="3">
        <v>50.0</v>
      </c>
      <c r="F899" s="3">
        <v>46.8</v>
      </c>
      <c r="G899" s="3">
        <v>52.5</v>
      </c>
      <c r="H899" s="3">
        <v>41.6</v>
      </c>
      <c r="I899" s="3">
        <v>46.6</v>
      </c>
      <c r="J899" s="3">
        <v>45.3</v>
      </c>
      <c r="K899" s="3">
        <v>46.5</v>
      </c>
      <c r="L899" s="3">
        <v>50.8</v>
      </c>
      <c r="M899" s="12">
        <f>(PMI!$D899+PMI!$E899)/2</f>
        <v>51.15</v>
      </c>
      <c r="N899" s="12">
        <f>(PMI!$F899+PMI!$G899+PMI!$I899+PMI!$L899)/4</f>
        <v>49.175</v>
      </c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16">
        <v>44866.0</v>
      </c>
      <c r="B900" s="3">
        <v>49.0</v>
      </c>
      <c r="C900" s="3">
        <v>47.2</v>
      </c>
      <c r="D900" s="3">
        <v>51.5</v>
      </c>
      <c r="E900" s="3">
        <v>48.4</v>
      </c>
      <c r="F900" s="3">
        <v>47.2</v>
      </c>
      <c r="G900" s="3">
        <v>50.9</v>
      </c>
      <c r="H900" s="3">
        <v>48.7</v>
      </c>
      <c r="I900" s="3">
        <v>43.0</v>
      </c>
      <c r="J900" s="3">
        <v>40.0</v>
      </c>
      <c r="K900" s="3">
        <v>48.4</v>
      </c>
      <c r="L900" s="3">
        <v>46.6</v>
      </c>
      <c r="M900" s="12">
        <f>(PMI!$D900+PMI!$E900)/2</f>
        <v>49.95</v>
      </c>
      <c r="N900" s="12">
        <f>(PMI!$F900+PMI!$G900+PMI!$I900+PMI!$L900)/4</f>
        <v>46.925</v>
      </c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10">
        <v>44896.0</v>
      </c>
      <c r="B901" s="3">
        <v>48.4</v>
      </c>
      <c r="C901" s="3">
        <v>45.1</v>
      </c>
      <c r="D901" s="3">
        <v>48.6</v>
      </c>
      <c r="E901" s="3">
        <v>50.8</v>
      </c>
      <c r="F901" s="3">
        <v>45.1</v>
      </c>
      <c r="G901" s="3">
        <v>52.3</v>
      </c>
      <c r="H901" s="3">
        <v>48.2</v>
      </c>
      <c r="I901" s="3">
        <v>39.4</v>
      </c>
      <c r="J901" s="3">
        <v>41.4</v>
      </c>
      <c r="K901" s="3">
        <v>46.2</v>
      </c>
      <c r="L901" s="3">
        <v>45.1</v>
      </c>
      <c r="M901" s="12">
        <f>(PMI!$D901+PMI!$E901)/2</f>
        <v>49.7</v>
      </c>
      <c r="N901" s="12">
        <f>(PMI!$F901+PMI!$G901+PMI!$I901+PMI!$L901)/4</f>
        <v>45.475</v>
      </c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16">
        <v>44927.0</v>
      </c>
      <c r="B902" s="3">
        <v>47.4</v>
      </c>
      <c r="C902" s="3">
        <v>42.5</v>
      </c>
      <c r="D902" s="3">
        <v>48.0</v>
      </c>
      <c r="E902" s="3">
        <v>50.6</v>
      </c>
      <c r="F902" s="3">
        <v>45.6</v>
      </c>
      <c r="G902" s="3">
        <v>50.2</v>
      </c>
      <c r="H902" s="3">
        <v>47.4</v>
      </c>
      <c r="I902" s="3">
        <v>44.5</v>
      </c>
      <c r="J902" s="3">
        <v>43.4</v>
      </c>
      <c r="K902" s="3">
        <v>49.4</v>
      </c>
      <c r="L902" s="3">
        <v>47.8</v>
      </c>
      <c r="M902" s="12">
        <f>(PMI!$D902+PMI!$E902)/2</f>
        <v>49.3</v>
      </c>
      <c r="N902" s="12">
        <f>(PMI!$F902+PMI!$G902+PMI!$I902+PMI!$L902)/4</f>
        <v>47.025</v>
      </c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10">
        <v>44958.0</v>
      </c>
      <c r="B903" s="12">
        <v>47.7</v>
      </c>
      <c r="C903" s="12">
        <v>47.0</v>
      </c>
      <c r="D903" s="12">
        <v>47.3</v>
      </c>
      <c r="E903" s="12">
        <v>49.1</v>
      </c>
      <c r="F903" s="12">
        <v>45.2</v>
      </c>
      <c r="G903" s="12">
        <v>50.1</v>
      </c>
      <c r="H903" s="12">
        <v>46.9</v>
      </c>
      <c r="I903" s="12">
        <v>51.3</v>
      </c>
      <c r="J903" s="12">
        <v>45.1</v>
      </c>
      <c r="K903" s="12">
        <v>49.9</v>
      </c>
      <c r="L903" s="12">
        <v>49.9</v>
      </c>
      <c r="M903" s="12">
        <f>(PMI!$D903+PMI!$E903)/2</f>
        <v>48.2</v>
      </c>
      <c r="N903" s="12">
        <f>(PMI!$F903+PMI!$G903+PMI!$I903+PMI!$L903)/4</f>
        <v>49.125</v>
      </c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16">
        <v>44986.0</v>
      </c>
      <c r="B904" s="3">
        <v>46.3</v>
      </c>
      <c r="C904" s="3">
        <v>44.3</v>
      </c>
      <c r="D904" s="3">
        <v>47.8</v>
      </c>
      <c r="E904" s="3">
        <v>46.9</v>
      </c>
      <c r="F904" s="3">
        <v>44.8</v>
      </c>
      <c r="G904" s="3">
        <v>47.5</v>
      </c>
      <c r="H904" s="3">
        <v>48.9</v>
      </c>
      <c r="I904" s="3">
        <v>49.2</v>
      </c>
      <c r="J904" s="3">
        <v>43.9</v>
      </c>
      <c r="K904" s="3">
        <v>47.6</v>
      </c>
      <c r="L904" s="3">
        <v>47.9</v>
      </c>
      <c r="M904" s="12">
        <f>(PMI!$D904+PMI!$E904)/2</f>
        <v>47.35</v>
      </c>
      <c r="N904" s="12">
        <f>(PMI!$F904+PMI!$G904+PMI!$I904+PMI!$L904)/4</f>
        <v>47.35</v>
      </c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10">
        <v>45017.0</v>
      </c>
      <c r="B905" s="3">
        <v>47.1</v>
      </c>
      <c r="C905" s="3">
        <v>45.7</v>
      </c>
      <c r="D905" s="3">
        <v>48.9</v>
      </c>
      <c r="E905" s="3">
        <v>50.2</v>
      </c>
      <c r="F905" s="3">
        <v>44.6</v>
      </c>
      <c r="G905" s="3">
        <v>46.3</v>
      </c>
      <c r="H905" s="3">
        <v>51.3</v>
      </c>
      <c r="I905" s="3">
        <v>53.2</v>
      </c>
      <c r="J905" s="3">
        <v>43.1</v>
      </c>
      <c r="K905" s="3">
        <v>49.8</v>
      </c>
      <c r="L905" s="3">
        <v>49.9</v>
      </c>
      <c r="M905" s="12">
        <f>(PMI!$D905+PMI!$E905)/2</f>
        <v>49.55</v>
      </c>
      <c r="N905" s="12">
        <f>(PMI!$F905+PMI!$G905+PMI!$I905+PMI!$L905)/4</f>
        <v>48.5</v>
      </c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16">
        <v>45047.0</v>
      </c>
      <c r="B906" s="3">
        <v>46.9</v>
      </c>
      <c r="C906" s="3">
        <v>42.6</v>
      </c>
      <c r="D906" s="3">
        <v>51.1</v>
      </c>
      <c r="E906" s="3">
        <v>51.4</v>
      </c>
      <c r="F906" s="3">
        <v>43.5</v>
      </c>
      <c r="G906" s="3">
        <v>45.8</v>
      </c>
      <c r="H906" s="3">
        <v>51.4</v>
      </c>
      <c r="I906" s="3">
        <v>44.2</v>
      </c>
      <c r="J906" s="3">
        <v>37.5</v>
      </c>
      <c r="K906" s="3">
        <v>50.0</v>
      </c>
      <c r="L906" s="3">
        <v>47.3</v>
      </c>
      <c r="M906" s="12">
        <f>(PMI!$D906+PMI!$E906)/2</f>
        <v>51.25</v>
      </c>
      <c r="N906" s="12">
        <f>(PMI!$F906+PMI!$G906+PMI!$I906+PMI!$L906)/4</f>
        <v>45.2</v>
      </c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10">
        <v>45078.0</v>
      </c>
      <c r="B907" s="3">
        <v>46.0</v>
      </c>
      <c r="C907" s="3">
        <v>45.6</v>
      </c>
      <c r="D907" s="3">
        <v>46.7</v>
      </c>
      <c r="E907" s="3">
        <v>48.1</v>
      </c>
      <c r="F907" s="3">
        <v>45.7</v>
      </c>
      <c r="G907" s="3">
        <v>44.0</v>
      </c>
      <c r="H907" s="3">
        <v>46.2</v>
      </c>
      <c r="I907" s="3">
        <v>41.8</v>
      </c>
      <c r="J907" s="3">
        <v>38.7</v>
      </c>
      <c r="K907" s="3">
        <v>47.3</v>
      </c>
      <c r="L907" s="3">
        <v>49.3</v>
      </c>
      <c r="M907" s="12">
        <f>(PMI!$D907+PMI!$E907)/2</f>
        <v>47.4</v>
      </c>
      <c r="N907" s="12">
        <f>(PMI!$F907+PMI!$G907+PMI!$I907+PMI!$L907)/4</f>
        <v>45.2</v>
      </c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16">
        <v>45108.0</v>
      </c>
      <c r="B908" s="3">
        <v>46.4</v>
      </c>
      <c r="C908" s="3">
        <v>47.3</v>
      </c>
      <c r="D908" s="3">
        <v>48.3</v>
      </c>
      <c r="E908" s="3">
        <v>44.4</v>
      </c>
      <c r="F908" s="3">
        <v>46.1</v>
      </c>
      <c r="G908" s="3">
        <v>46.1</v>
      </c>
      <c r="H908" s="3">
        <v>48.7</v>
      </c>
      <c r="I908" s="3">
        <v>42.6</v>
      </c>
      <c r="J908" s="3">
        <v>42.8</v>
      </c>
      <c r="K908" s="3">
        <v>46.2</v>
      </c>
      <c r="L908" s="3">
        <v>49.6</v>
      </c>
      <c r="M908" s="12">
        <f>(PMI!$D908+PMI!$E908)/2</f>
        <v>46.35</v>
      </c>
      <c r="N908" s="12">
        <f>(PMI!$F908+PMI!$G908+PMI!$I908+PMI!$L908)/4</f>
        <v>46.1</v>
      </c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10">
        <v>45139.0</v>
      </c>
      <c r="B909" s="3">
        <v>47.6</v>
      </c>
      <c r="C909" s="3">
        <v>46.8</v>
      </c>
      <c r="D909" s="3">
        <v>50.0</v>
      </c>
      <c r="E909" s="3">
        <v>48.5</v>
      </c>
      <c r="F909" s="3">
        <v>48.6</v>
      </c>
      <c r="G909" s="3">
        <v>44.0</v>
      </c>
      <c r="H909" s="3">
        <v>48.7</v>
      </c>
      <c r="I909" s="3">
        <v>48.4</v>
      </c>
      <c r="J909" s="3">
        <v>44.1</v>
      </c>
      <c r="K909" s="3">
        <v>46.5</v>
      </c>
      <c r="L909" s="3">
        <v>48.0</v>
      </c>
      <c r="M909" s="12">
        <f>(PMI!$D909+PMI!$E909)/2</f>
        <v>49.25</v>
      </c>
      <c r="N909" s="12">
        <f>(PMI!$F909+PMI!$G909+PMI!$I909+PMI!$L909)/4</f>
        <v>47.25</v>
      </c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17">
        <v>45200.0</v>
      </c>
      <c r="B910" s="18">
        <v>49.0</v>
      </c>
      <c r="C910" s="18">
        <v>49.2</v>
      </c>
      <c r="D910" s="18">
        <v>52.5</v>
      </c>
      <c r="E910" s="18">
        <v>51.2</v>
      </c>
      <c r="F910" s="18">
        <v>46.4</v>
      </c>
      <c r="G910" s="18">
        <v>45.8</v>
      </c>
      <c r="H910" s="18">
        <v>47.1</v>
      </c>
      <c r="I910" s="18">
        <v>43.8</v>
      </c>
      <c r="J910" s="18">
        <v>42.4</v>
      </c>
      <c r="K910" s="18">
        <v>47.4</v>
      </c>
      <c r="L910" s="18">
        <v>48.2</v>
      </c>
      <c r="M910" s="12">
        <f>(PMI!$D910+PMI!$E910)/2</f>
        <v>51.85</v>
      </c>
      <c r="N910" s="12">
        <f>(PMI!$F910+PMI!$G910+PMI!$I910+PMI!$L910)/4</f>
        <v>46.05</v>
      </c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16">
        <v>45231.0</v>
      </c>
      <c r="B911" s="3">
        <v>46.7</v>
      </c>
      <c r="C911" s="3">
        <v>45.5</v>
      </c>
      <c r="D911" s="3">
        <v>50.4</v>
      </c>
      <c r="E911" s="3">
        <v>46.8</v>
      </c>
      <c r="F911" s="3">
        <v>47.7</v>
      </c>
      <c r="G911" s="3">
        <v>43.3</v>
      </c>
      <c r="H911" s="3">
        <v>48.6</v>
      </c>
      <c r="I911" s="3">
        <v>45.1</v>
      </c>
      <c r="J911" s="3">
        <v>42.2</v>
      </c>
      <c r="K911" s="3">
        <v>49.4</v>
      </c>
      <c r="L911" s="3">
        <v>47.9</v>
      </c>
      <c r="M911" s="12">
        <f>(PMI!$D911+PMI!$E911)/2</f>
        <v>48.6</v>
      </c>
      <c r="N911" s="12">
        <f>(PMI!$F911+PMI!$G911+PMI!$I911+PMI!$L911)/4</f>
        <v>46</v>
      </c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10">
        <v>45261.0</v>
      </c>
      <c r="B912" s="3">
        <v>46.7</v>
      </c>
      <c r="C912" s="3">
        <v>48.3</v>
      </c>
      <c r="D912" s="3">
        <v>48.5</v>
      </c>
      <c r="E912" s="3">
        <v>45.8</v>
      </c>
      <c r="F912" s="3">
        <v>46.2</v>
      </c>
      <c r="G912" s="3">
        <v>44.8</v>
      </c>
      <c r="H912" s="3">
        <v>50.8</v>
      </c>
      <c r="I912" s="3">
        <v>49.9</v>
      </c>
      <c r="J912" s="3">
        <v>39.3</v>
      </c>
      <c r="K912" s="3">
        <v>46.0</v>
      </c>
      <c r="L912" s="3">
        <v>46.2</v>
      </c>
      <c r="M912" s="12">
        <f>(PMI!$D912+PMI!$E912)/2</f>
        <v>47.15</v>
      </c>
      <c r="N912" s="12">
        <f>(PMI!$F912+PMI!$G912+PMI!$I912+PMI!$L912)/4</f>
        <v>46.775</v>
      </c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16">
        <v>45292.0</v>
      </c>
      <c r="B913" s="3">
        <v>47.1</v>
      </c>
      <c r="C913" s="3">
        <v>47.0</v>
      </c>
      <c r="D913" s="3">
        <v>49.9</v>
      </c>
      <c r="E913" s="3">
        <v>47.5</v>
      </c>
      <c r="F913" s="3">
        <v>47.0</v>
      </c>
      <c r="G913" s="3">
        <v>43.9</v>
      </c>
      <c r="H913" s="3">
        <v>48.1</v>
      </c>
      <c r="I913" s="3">
        <v>45.2</v>
      </c>
      <c r="J913" s="3">
        <v>45.3</v>
      </c>
      <c r="K913" s="3">
        <v>49.9</v>
      </c>
      <c r="L913" s="3">
        <v>46.4</v>
      </c>
      <c r="M913" s="12">
        <f>(PMI!$D913+PMI!$E913)/2</f>
        <v>48.7</v>
      </c>
      <c r="N913" s="12">
        <f>(PMI!$F913+PMI!$G913+PMI!$I913+PMI!$L913)/4</f>
        <v>45.625</v>
      </c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10">
        <v>45323.0</v>
      </c>
      <c r="B914" s="3">
        <v>49.1</v>
      </c>
      <c r="C914" s="3">
        <v>52.5</v>
      </c>
      <c r="D914" s="3">
        <v>50.4</v>
      </c>
      <c r="E914" s="3">
        <v>47.1</v>
      </c>
      <c r="F914" s="3">
        <v>49.1</v>
      </c>
      <c r="G914" s="3">
        <v>46.2</v>
      </c>
      <c r="H914" s="3">
        <v>43.7</v>
      </c>
      <c r="I914" s="3">
        <v>52.9</v>
      </c>
      <c r="J914" s="3">
        <v>44.7</v>
      </c>
      <c r="K914" s="3">
        <v>45.2</v>
      </c>
      <c r="L914" s="3">
        <v>50.1</v>
      </c>
      <c r="M914" s="12">
        <f>(PMI!$D914+PMI!$E914)/2</f>
        <v>48.75</v>
      </c>
      <c r="N914" s="12">
        <f>(PMI!$F914+PMI!$G914+PMI!$I914+PMI!$L914)/4</f>
        <v>49.575</v>
      </c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16">
        <v>45352.0</v>
      </c>
      <c r="B915" s="3">
        <v>47.8</v>
      </c>
      <c r="C915" s="3">
        <v>49.2</v>
      </c>
      <c r="D915" s="3">
        <v>48.4</v>
      </c>
      <c r="E915" s="3">
        <v>45.9</v>
      </c>
      <c r="F915" s="3">
        <v>50.1</v>
      </c>
      <c r="G915" s="3">
        <v>45.3</v>
      </c>
      <c r="H915" s="3">
        <v>45.8</v>
      </c>
      <c r="I915" s="3">
        <v>52.5</v>
      </c>
      <c r="J915" s="3">
        <v>46.3</v>
      </c>
      <c r="K915" s="3">
        <v>51.6</v>
      </c>
      <c r="L915" s="3">
        <v>53.0</v>
      </c>
      <c r="M915" s="12">
        <f>(PMI!$D915+PMI!$E915)/2</f>
        <v>47.15</v>
      </c>
      <c r="N915" s="12">
        <f>(PMI!$F915+PMI!$G915+PMI!$I915+PMI!$L915)/4</f>
        <v>50.225</v>
      </c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10">
        <v>45383.0</v>
      </c>
      <c r="B916" s="3">
        <v>50.3</v>
      </c>
      <c r="C916" s="3">
        <v>51.4</v>
      </c>
      <c r="D916" s="3">
        <v>54.6</v>
      </c>
      <c r="E916" s="3">
        <v>47.4</v>
      </c>
      <c r="F916" s="3">
        <v>49.9</v>
      </c>
      <c r="G916" s="3">
        <v>48.2</v>
      </c>
      <c r="H916" s="3">
        <v>44.0</v>
      </c>
      <c r="I916" s="3">
        <v>55.8</v>
      </c>
      <c r="J916" s="3">
        <v>46.3</v>
      </c>
      <c r="K916" s="3">
        <v>51.6</v>
      </c>
      <c r="L916" s="3">
        <v>53.0</v>
      </c>
      <c r="M916" s="12">
        <f>(PMI!$D916+PMI!$E916)/2</f>
        <v>51</v>
      </c>
      <c r="N916" s="12">
        <f>(PMI!$F916+PMI!$G916+PMI!$I916+PMI!$L916)/4</f>
        <v>51.725</v>
      </c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19">
        <v>45413.0</v>
      </c>
      <c r="B917" s="20">
        <v>49.2</v>
      </c>
      <c r="C917" s="20">
        <v>49.1</v>
      </c>
      <c r="D917" s="20">
        <v>51.3</v>
      </c>
      <c r="E917" s="20">
        <v>48.6</v>
      </c>
      <c r="F917" s="20">
        <v>48.9</v>
      </c>
      <c r="G917" s="20">
        <v>48.2</v>
      </c>
      <c r="H917" s="20">
        <v>47.8</v>
      </c>
      <c r="I917" s="20">
        <v>60.9</v>
      </c>
      <c r="J917" s="20">
        <v>45.4</v>
      </c>
      <c r="K917" s="20">
        <v>48.7</v>
      </c>
      <c r="L917" s="20">
        <v>51.9</v>
      </c>
      <c r="M917" s="12">
        <f>(PMI!$D917+PMI!$E917)/2</f>
        <v>49.95</v>
      </c>
      <c r="N917" s="12">
        <f>(PMI!$F917+PMI!$G917+PMI!$I917+PMI!$L917)/4</f>
        <v>52.475</v>
      </c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10">
        <v>45444.0</v>
      </c>
      <c r="B918" s="3">
        <v>48.7</v>
      </c>
      <c r="C918" s="3">
        <v>45.4</v>
      </c>
      <c r="D918" s="3">
        <v>50.2</v>
      </c>
      <c r="E918" s="3">
        <v>51.1</v>
      </c>
      <c r="F918" s="3">
        <v>48.9</v>
      </c>
      <c r="G918" s="3">
        <v>47.9</v>
      </c>
      <c r="H918" s="3">
        <v>48.3</v>
      </c>
      <c r="I918" s="3">
        <v>57.0</v>
      </c>
      <c r="J918" s="3">
        <v>42.4</v>
      </c>
      <c r="K918" s="3">
        <v>50.6</v>
      </c>
      <c r="L918" s="3">
        <v>51.1</v>
      </c>
      <c r="M918" s="12">
        <f>(PMI!$D918+PMI!$E918)/2</f>
        <v>50.65</v>
      </c>
      <c r="N918" s="12">
        <f>(PMI!$F918+PMI!$G918+PMI!$I918+PMI!$L918)/4</f>
        <v>51.225</v>
      </c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16">
        <v>45474.0</v>
      </c>
      <c r="B919" s="18">
        <v>48.5</v>
      </c>
      <c r="C919" s="18">
        <v>49.3</v>
      </c>
      <c r="D919" s="18">
        <v>48.5</v>
      </c>
      <c r="E919" s="18">
        <v>49.3</v>
      </c>
      <c r="F919" s="18">
        <v>49.8</v>
      </c>
      <c r="G919" s="18">
        <v>45.4</v>
      </c>
      <c r="H919" s="18">
        <v>47.4</v>
      </c>
      <c r="I919" s="18">
        <v>52.1</v>
      </c>
      <c r="J919" s="18">
        <v>41.7</v>
      </c>
      <c r="K919" s="18">
        <v>48.8</v>
      </c>
      <c r="L919" s="18">
        <v>48.5</v>
      </c>
      <c r="M919" s="12">
        <f>(PMI!$D919+PMI!$E919)/2</f>
        <v>48.9</v>
      </c>
      <c r="N919" s="12">
        <f>(PMI!$F919+PMI!$G919+PMI!$I919+PMI!$L919)/4</f>
        <v>48.95</v>
      </c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10">
        <v>45505.0</v>
      </c>
      <c r="B920" s="3">
        <v>46.8</v>
      </c>
      <c r="C920" s="3">
        <v>47.4</v>
      </c>
      <c r="D920" s="3">
        <v>45.9</v>
      </c>
      <c r="E920" s="3">
        <v>43.4</v>
      </c>
      <c r="F920" s="3">
        <v>52.6</v>
      </c>
      <c r="G920" s="3">
        <v>44.5</v>
      </c>
      <c r="H920" s="3">
        <v>45.8</v>
      </c>
      <c r="I920" s="3">
        <v>52.9</v>
      </c>
      <c r="J920" s="3">
        <v>41.7</v>
      </c>
      <c r="K920" s="3">
        <v>49.0</v>
      </c>
      <c r="L920" s="3">
        <v>48.6</v>
      </c>
      <c r="M920" s="12">
        <f>(PMI!$D920+PMI!$E920)/2</f>
        <v>44.65</v>
      </c>
      <c r="N920" s="12">
        <f>(PMI!$F920+PMI!$G920+PMI!$I920+PMI!$L920)/4</f>
        <v>49.65</v>
      </c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16">
        <v>45536.0</v>
      </c>
      <c r="B921" s="3">
        <v>47.2</v>
      </c>
      <c r="C921" s="3">
        <v>44.6</v>
      </c>
      <c r="D921" s="3">
        <v>44.8</v>
      </c>
      <c r="E921" s="3">
        <v>46.0</v>
      </c>
      <c r="F921" s="3">
        <v>50.5</v>
      </c>
      <c r="G921" s="3">
        <v>50.3</v>
      </c>
      <c r="H921" s="3">
        <v>48.4</v>
      </c>
      <c r="I921" s="3">
        <v>54.0</v>
      </c>
      <c r="J921" s="3">
        <v>43.6</v>
      </c>
      <c r="K921" s="3">
        <v>48.6</v>
      </c>
      <c r="L921" s="3">
        <v>49.6</v>
      </c>
      <c r="M921" s="12">
        <f>(PMI!$D921+PMI!$E921)/2</f>
        <v>45.4</v>
      </c>
      <c r="N921" s="12">
        <f>(PMI!$F921+PMI!$G921+PMI!$I921+PMI!$L921)/4</f>
        <v>51.1</v>
      </c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17">
        <v>45566.0</v>
      </c>
      <c r="B922" s="18">
        <v>47.2</v>
      </c>
      <c r="C922" s="18">
        <v>46.1</v>
      </c>
      <c r="D922" s="18">
        <v>49.8</v>
      </c>
      <c r="E922" s="18">
        <v>43.9</v>
      </c>
      <c r="F922" s="18">
        <v>52.2</v>
      </c>
      <c r="G922" s="18">
        <v>43.9</v>
      </c>
      <c r="H922" s="18">
        <v>50.0</v>
      </c>
      <c r="I922" s="18">
        <v>48.3</v>
      </c>
      <c r="J922" s="18">
        <v>44.1</v>
      </c>
      <c r="K922" s="18">
        <v>45.3</v>
      </c>
      <c r="L922" s="18">
        <v>48.3</v>
      </c>
      <c r="M922" s="12">
        <f>(PMI!$D922+PMI!$E922)/2</f>
        <v>46.85</v>
      </c>
      <c r="N922" s="12">
        <f>(PMI!$F922+PMI!$G922+PMI!$I922+PMI!$L922)/4</f>
        <v>48.175</v>
      </c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16">
        <v>45597.0</v>
      </c>
      <c r="B923" s="18">
        <v>46.5</v>
      </c>
      <c r="C923" s="18">
        <v>47.1</v>
      </c>
      <c r="D923" s="18">
        <v>46.2</v>
      </c>
      <c r="E923" s="18">
        <v>44.4</v>
      </c>
      <c r="F923" s="18">
        <v>52.0</v>
      </c>
      <c r="G923" s="18">
        <v>42.6</v>
      </c>
      <c r="H923" s="18">
        <v>46.8</v>
      </c>
      <c r="I923" s="18">
        <v>54.8</v>
      </c>
      <c r="J923" s="18">
        <v>42.3</v>
      </c>
      <c r="K923" s="18">
        <v>45.5</v>
      </c>
      <c r="L923" s="18">
        <v>48.3</v>
      </c>
      <c r="M923" s="12">
        <f>(PMI!$D923+PMI!$E923)/2</f>
        <v>45.3</v>
      </c>
      <c r="N923" s="12">
        <f>(PMI!$F923+PMI!$G923+PMI!$I923+PMI!$L923)/4</f>
        <v>49.425</v>
      </c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17">
        <v>45627.0</v>
      </c>
      <c r="B924" s="3">
        <v>48.4</v>
      </c>
      <c r="C924" s="3">
        <v>50.4</v>
      </c>
      <c r="D924" s="3">
        <v>46.8</v>
      </c>
      <c r="E924" s="3">
        <v>48.1</v>
      </c>
      <c r="F924" s="3">
        <v>48.7</v>
      </c>
      <c r="G924" s="3">
        <v>48.1</v>
      </c>
      <c r="H924" s="3">
        <v>48.4</v>
      </c>
      <c r="I924" s="3">
        <v>50.3</v>
      </c>
      <c r="J924" s="3">
        <v>41.8</v>
      </c>
      <c r="K924" s="3">
        <v>48.7</v>
      </c>
      <c r="L924" s="3">
        <v>47.6</v>
      </c>
      <c r="M924" s="12">
        <f>(PMI!$D924+PMI!$E924)/2</f>
        <v>47.45</v>
      </c>
      <c r="N924" s="12">
        <f>(PMI!$F924+PMI!$G924+PMI!$I924+PMI!$L924)/4</f>
        <v>48.675</v>
      </c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16">
        <v>45658.0</v>
      </c>
      <c r="B925" s="3">
        <v>49.3</v>
      </c>
      <c r="C925" s="3">
        <v>52.5</v>
      </c>
      <c r="D925" s="3">
        <v>50.3</v>
      </c>
      <c r="E925" s="3">
        <v>45.3</v>
      </c>
      <c r="F925" s="3">
        <v>50.1</v>
      </c>
      <c r="G925" s="3">
        <v>48.4</v>
      </c>
      <c r="H925" s="3">
        <v>46.7</v>
      </c>
      <c r="I925" s="3">
        <v>52.5</v>
      </c>
      <c r="J925" s="3">
        <v>45.9</v>
      </c>
      <c r="K925" s="3">
        <v>50.0</v>
      </c>
      <c r="L925" s="3">
        <v>49.7</v>
      </c>
      <c r="M925" s="12">
        <f>(PMI!$D925+PMI!$E925)/2</f>
        <v>47.8</v>
      </c>
      <c r="N925" s="12">
        <f>(PMI!$F925+PMI!$G925+PMI!$I925+PMI!$L925)/4</f>
        <v>50.175</v>
      </c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17">
        <v>45689.0</v>
      </c>
      <c r="B926" s="3">
        <v>50.9</v>
      </c>
      <c r="C926" s="3">
        <v>55.1</v>
      </c>
      <c r="D926" s="3">
        <v>52.5</v>
      </c>
      <c r="E926" s="3">
        <v>50.3</v>
      </c>
      <c r="F926" s="3">
        <v>50.9</v>
      </c>
      <c r="G926" s="3">
        <v>45.9</v>
      </c>
      <c r="H926" s="3">
        <v>46.7</v>
      </c>
      <c r="I926" s="3">
        <v>54.9</v>
      </c>
      <c r="J926" s="3">
        <v>44.9</v>
      </c>
      <c r="K926" s="3">
        <v>52.4</v>
      </c>
      <c r="L926" s="3">
        <v>51.1</v>
      </c>
      <c r="M926" s="12">
        <f>(PMI!$D926+PMI!$E926)/2</f>
        <v>51.4</v>
      </c>
      <c r="N926" s="12">
        <f>(PMI!$F926+PMI!$G926+PMI!$I926+PMI!$L926)/4</f>
        <v>50.7</v>
      </c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16">
        <v>45717.0</v>
      </c>
      <c r="B927" s="3">
        <v>50.3</v>
      </c>
      <c r="C927" s="3">
        <v>48.6</v>
      </c>
      <c r="D927" s="3">
        <v>50.7</v>
      </c>
      <c r="E927" s="3">
        <v>47.6</v>
      </c>
      <c r="F927" s="3">
        <v>54.5</v>
      </c>
      <c r="G927" s="3">
        <v>49.9</v>
      </c>
      <c r="H927" s="3">
        <v>45.3</v>
      </c>
      <c r="I927" s="3">
        <v>62.4</v>
      </c>
      <c r="J927" s="3">
        <v>46.8</v>
      </c>
      <c r="K927" s="3">
        <v>51.4</v>
      </c>
      <c r="L927" s="3">
        <v>52.6</v>
      </c>
      <c r="M927" s="12">
        <f>(PMI!$D927+PMI!$E927)/2</f>
        <v>49.15</v>
      </c>
      <c r="N927" s="12">
        <f>(PMI!$F927+PMI!$G927+PMI!$I927+PMI!$L927)/4</f>
        <v>54.85</v>
      </c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17">
        <v>45748.0</v>
      </c>
      <c r="B928" s="3">
        <v>49.0</v>
      </c>
      <c r="C928" s="3">
        <v>45.2</v>
      </c>
      <c r="D928" s="3">
        <v>48.3</v>
      </c>
      <c r="E928" s="3">
        <v>44.7</v>
      </c>
      <c r="F928" s="3">
        <v>53.5</v>
      </c>
      <c r="G928" s="3">
        <v>53.4</v>
      </c>
      <c r="H928" s="3">
        <v>46.8</v>
      </c>
      <c r="I928" s="3">
        <v>69.4</v>
      </c>
      <c r="J928" s="3">
        <v>44.5</v>
      </c>
      <c r="K928" s="3">
        <v>49.6</v>
      </c>
      <c r="L928" s="3">
        <v>50.1</v>
      </c>
      <c r="M928" s="12">
        <f>(PMI!$D928+PMI!$E928)/2</f>
        <v>46.5</v>
      </c>
      <c r="N928" s="12">
        <f>(PMI!$F928+PMI!$G928+PMI!$I928+PMI!$L928)/4</f>
        <v>56.6</v>
      </c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16">
        <v>45778.0</v>
      </c>
      <c r="B929" s="21">
        <v>48.7</v>
      </c>
      <c r="C929" s="21">
        <v>47.2</v>
      </c>
      <c r="D929" s="21">
        <v>44.0</v>
      </c>
      <c r="E929" s="21">
        <v>46.5</v>
      </c>
      <c r="F929" s="21">
        <v>55.2</v>
      </c>
      <c r="G929" s="21">
        <v>50.8</v>
      </c>
      <c r="H929" s="21">
        <v>46.2</v>
      </c>
      <c r="I929" s="21">
        <v>69.8</v>
      </c>
      <c r="J929" s="21">
        <v>43.7</v>
      </c>
      <c r="K929" s="21">
        <v>43.1</v>
      </c>
      <c r="L929" s="3">
        <v>47.1</v>
      </c>
      <c r="M929" s="12">
        <f>(PMI!$D929+PMI!$E929)/2</f>
        <v>45.25</v>
      </c>
      <c r="N929" s="12">
        <f>(PMI!$F929+PMI!$G929+PMI!$I929+PMI!$L929)/4</f>
        <v>55.725</v>
      </c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17">
        <v>45809.0</v>
      </c>
      <c r="B930" s="3">
        <v>48.5</v>
      </c>
      <c r="C930" s="3">
        <v>47.6</v>
      </c>
      <c r="D930" s="3">
        <v>45.4</v>
      </c>
      <c r="E930" s="3">
        <v>46.8</v>
      </c>
      <c r="F930" s="3">
        <v>56.1</v>
      </c>
      <c r="G930" s="3">
        <v>46.7</v>
      </c>
      <c r="H930" s="3">
        <v>44.5</v>
      </c>
      <c r="I930" s="3">
        <v>69.4</v>
      </c>
      <c r="J930" s="3">
        <v>47.1</v>
      </c>
      <c r="K930" s="3">
        <v>40.1</v>
      </c>
      <c r="L930" s="3">
        <v>39.9</v>
      </c>
      <c r="M930" s="12">
        <f>(PMI!$D930+PMI!$E930)/2</f>
        <v>46.1</v>
      </c>
      <c r="N930" s="12">
        <f>(PMI!$F930+PMI!$G930+PMI!$I930+PMI!$L930)/4</f>
        <v>53.025</v>
      </c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16">
        <v>45839.0</v>
      </c>
      <c r="B931" s="3">
        <v>49.0</v>
      </c>
      <c r="C931" s="3">
        <v>46.4</v>
      </c>
      <c r="D931" s="3">
        <v>50.3</v>
      </c>
      <c r="E931" s="3">
        <v>45.0</v>
      </c>
      <c r="F931" s="3">
        <v>54.2</v>
      </c>
      <c r="G931" s="3">
        <v>49.2</v>
      </c>
      <c r="H931" s="3">
        <v>46.7</v>
      </c>
      <c r="I931" s="3">
        <v>69.7</v>
      </c>
      <c r="J931" s="3">
        <v>44.3</v>
      </c>
      <c r="K931" s="3">
        <v>46.3</v>
      </c>
      <c r="L931" s="3">
        <v>47.4</v>
      </c>
      <c r="M931" s="12">
        <f>(PMI!$D931+PMI!$E931)/2</f>
        <v>47.65</v>
      </c>
      <c r="N931" s="12">
        <f>(PMI!$F931+PMI!$G931+PMI!$I931+PMI!$L931)/4</f>
        <v>55.125</v>
      </c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17">
        <v>45870.0</v>
      </c>
      <c r="B932" s="3">
        <v>48.0</v>
      </c>
      <c r="C932" s="3">
        <v>47.1</v>
      </c>
      <c r="D932" s="3">
        <v>51.4</v>
      </c>
      <c r="E932" s="3">
        <v>43.4</v>
      </c>
      <c r="F932" s="3">
        <v>49.3</v>
      </c>
      <c r="G932" s="3">
        <v>48.9</v>
      </c>
      <c r="H932" s="3">
        <v>45.7</v>
      </c>
      <c r="I932" s="3">
        <v>64.8</v>
      </c>
      <c r="J932" s="3">
        <v>46.8</v>
      </c>
      <c r="K932" s="3">
        <v>46.1</v>
      </c>
      <c r="L932" s="3">
        <v>47.6</v>
      </c>
      <c r="M932" s="12">
        <f>(PMI!$D932+PMI!$E932)/2</f>
        <v>47.4</v>
      </c>
      <c r="N932" s="12">
        <f>(PMI!$F932+PMI!$G932+PMI!$I932+PMI!$L932)/4</f>
        <v>52.65</v>
      </c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16">
        <v>45901.0</v>
      </c>
      <c r="B933" s="3">
        <v>48.7</v>
      </c>
      <c r="C933" s="3">
        <v>51.4</v>
      </c>
      <c r="D933" s="3">
        <v>47.8</v>
      </c>
      <c r="E933" s="3">
        <v>43.8</v>
      </c>
      <c r="F933" s="3">
        <v>51.3</v>
      </c>
      <c r="G933" s="3">
        <v>49.4</v>
      </c>
      <c r="H933" s="3">
        <v>44.6</v>
      </c>
      <c r="I933" s="3">
        <v>63.7</v>
      </c>
      <c r="J933" s="3">
        <v>44.7</v>
      </c>
      <c r="K933" s="3">
        <v>47.6</v>
      </c>
      <c r="L933" s="3">
        <v>46.0</v>
      </c>
      <c r="M933" s="12">
        <f>(PMI!$D933+PMI!$E933)/2</f>
        <v>45.8</v>
      </c>
      <c r="N933" s="12">
        <f>(PMI!$F933+PMI!$G933+PMI!$I933+PMI!$L933)/4</f>
        <v>52.6</v>
      </c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17">
        <v>45931.0</v>
      </c>
      <c r="B934" s="3">
        <v>49.1</v>
      </c>
      <c r="C934" s="3">
        <v>48.9</v>
      </c>
      <c r="D934" s="3">
        <v>51.0</v>
      </c>
      <c r="E934" s="3">
        <v>45.3</v>
      </c>
      <c r="F934" s="3">
        <v>52.6</v>
      </c>
      <c r="G934" s="3">
        <v>47.7</v>
      </c>
      <c r="H934" s="3">
        <v>43.7</v>
      </c>
      <c r="I934" s="3">
        <v>61.9</v>
      </c>
      <c r="J934" s="3">
        <v>46.2</v>
      </c>
      <c r="K934" s="3">
        <v>43.0</v>
      </c>
      <c r="L934" s="3">
        <v>44.7</v>
      </c>
      <c r="M934" s="12">
        <f>(PMI!$D934+PMI!$E934)/2</f>
        <v>48.15</v>
      </c>
      <c r="N934" s="12">
        <f>(PMI!$F934+PMI!$G934+PMI!$I934+PMI!$L934)/4</f>
        <v>51.725</v>
      </c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10">
        <v>45962.0</v>
      </c>
      <c r="B935" s="3">
        <v>48.7</v>
      </c>
      <c r="C935" s="3">
        <v>49.4</v>
      </c>
      <c r="D935" s="3">
        <v>48.2</v>
      </c>
      <c r="E935" s="3">
        <v>46.0</v>
      </c>
      <c r="F935" s="3">
        <v>54.2</v>
      </c>
      <c r="G935" s="3">
        <v>45.8</v>
      </c>
      <c r="H935" s="3">
        <v>43.9</v>
      </c>
      <c r="I935" s="3">
        <v>58.0</v>
      </c>
      <c r="J935" s="3">
        <v>47.9</v>
      </c>
      <c r="K935" s="3">
        <v>44.5</v>
      </c>
      <c r="L935" s="3">
        <v>45.4</v>
      </c>
      <c r="M935" s="12">
        <f>(PMI!$D935+PMI!$E935)/2</f>
        <v>47.1</v>
      </c>
      <c r="N935" s="12">
        <f>(PMI!$F935+PMI!$G935+PMI!$I935+PMI!$L935)/4</f>
        <v>50.85</v>
      </c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17">
        <v>45992.0</v>
      </c>
      <c r="B936" s="3">
        <v>48.2</v>
      </c>
      <c r="C936" s="3">
        <v>47.4</v>
      </c>
      <c r="D936" s="3">
        <v>51.4</v>
      </c>
      <c r="E936" s="3">
        <v>44.0</v>
      </c>
      <c r="F936" s="3">
        <v>49.3</v>
      </c>
      <c r="G936" s="3">
        <v>48.9</v>
      </c>
      <c r="H936" s="3">
        <v>44.7</v>
      </c>
      <c r="I936" s="3">
        <v>58.5</v>
      </c>
      <c r="J936" s="3">
        <v>44.0</v>
      </c>
      <c r="K936" s="3">
        <v>46.2</v>
      </c>
      <c r="L936" s="3">
        <v>48.9</v>
      </c>
      <c r="M936" s="12">
        <f>(PMI!$D936+PMI!$E936)/2</f>
        <v>47.7</v>
      </c>
      <c r="N936" s="12">
        <f>(PMI!$F936+PMI!$G936+PMI!$I936+PMI!$L936)/4</f>
        <v>51.4</v>
      </c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10">
        <v>46023.0</v>
      </c>
      <c r="B937" s="3">
        <v>47.9</v>
      </c>
      <c r="C937" s="3">
        <v>47.7</v>
      </c>
      <c r="D937" s="3">
        <v>51.0</v>
      </c>
      <c r="E937" s="3">
        <v>44.9</v>
      </c>
      <c r="F937" s="3">
        <v>50.8</v>
      </c>
      <c r="G937" s="3">
        <v>45.7</v>
      </c>
      <c r="H937" s="22">
        <v>43.3</v>
      </c>
      <c r="I937" s="3">
        <v>58.5</v>
      </c>
      <c r="J937" s="3">
        <v>45.8</v>
      </c>
      <c r="K937" s="3">
        <v>46.8</v>
      </c>
      <c r="L937" s="3">
        <v>44.6</v>
      </c>
      <c r="M937" s="12">
        <f>(PMI!$D937+PMI!$E937)/2</f>
        <v>47.95</v>
      </c>
      <c r="N937" s="12">
        <f>(PMI!$F937+PMI!$G937+PMI!$I937+PMI!$L937)/4</f>
        <v>49.9</v>
      </c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10">
        <v>46054.0</v>
      </c>
      <c r="B938" s="3">
        <v>52.6</v>
      </c>
      <c r="C938" s="3">
        <v>57.1</v>
      </c>
      <c r="D938" s="3">
        <v>55.9</v>
      </c>
      <c r="E938" s="3">
        <v>48.1</v>
      </c>
      <c r="F938" s="3">
        <v>54.4</v>
      </c>
      <c r="G938" s="3">
        <v>47.6</v>
      </c>
      <c r="H938" s="3">
        <v>38.7</v>
      </c>
      <c r="I938" s="3">
        <v>59.0</v>
      </c>
      <c r="J938" s="3">
        <v>51.6</v>
      </c>
      <c r="K938" s="3">
        <v>50.2</v>
      </c>
      <c r="L938" s="3">
        <v>50.0</v>
      </c>
      <c r="M938" s="12">
        <f>(PMI!$D938+PMI!$E938)/2</f>
        <v>52</v>
      </c>
      <c r="N938" s="12">
        <f>(PMI!$F938+PMI!$G938+PMI!$I938+PMI!$L938)/4</f>
        <v>52.75</v>
      </c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10">
        <v>46082.0</v>
      </c>
      <c r="B939" s="3">
        <v>52.4</v>
      </c>
      <c r="C939" s="3">
        <v>55.8</v>
      </c>
      <c r="D939" s="3">
        <v>53.5</v>
      </c>
      <c r="E939" s="3">
        <v>48.8</v>
      </c>
      <c r="F939" s="3">
        <v>55.1</v>
      </c>
      <c r="G939" s="3">
        <v>48.8</v>
      </c>
      <c r="H939" s="3">
        <v>38.8</v>
      </c>
      <c r="I939" s="3">
        <v>70.5</v>
      </c>
      <c r="J939" s="3">
        <v>56.6</v>
      </c>
      <c r="K939" s="3">
        <v>50.3</v>
      </c>
      <c r="L939" s="3">
        <v>54.9</v>
      </c>
      <c r="M939" s="12">
        <f>(PMI!$D939+PMI!$E939)/2</f>
        <v>51.15</v>
      </c>
      <c r="N939" s="12">
        <f>(PMI!$F939+PMI!$G939+PMI!$I939+PMI!$L939)/4</f>
        <v>57.325</v>
      </c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10">
        <v>46113.0</v>
      </c>
      <c r="B940" s="3">
        <v>52.7</v>
      </c>
      <c r="C940" s="3">
        <v>53.5</v>
      </c>
      <c r="D940" s="3">
        <v>55.1</v>
      </c>
      <c r="E940" s="3">
        <v>48.7</v>
      </c>
      <c r="F940" s="3">
        <v>58.9</v>
      </c>
      <c r="G940" s="3">
        <v>47.1</v>
      </c>
      <c r="H940" s="3">
        <v>40.1</v>
      </c>
      <c r="I940" s="3">
        <v>78.3</v>
      </c>
      <c r="J940" s="3">
        <v>54.4</v>
      </c>
      <c r="K940" s="3">
        <v>49.9</v>
      </c>
      <c r="L940" s="3">
        <v>52.9</v>
      </c>
      <c r="M940" s="12">
        <f>(PMI!$D940+PMI!$E940)/2</f>
        <v>51.9</v>
      </c>
      <c r="N940" s="12">
        <f>(PMI!$F940+PMI!$G940+PMI!$I940+PMI!$L940)/4</f>
        <v>59.3</v>
      </c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10">
        <v>46143.0</v>
      </c>
      <c r="B941" s="3">
        <v>52.7</v>
      </c>
      <c r="C941" s="3">
        <v>54.1</v>
      </c>
      <c r="D941" s="3">
        <v>53.4</v>
      </c>
      <c r="E941" s="3">
        <v>46.4</v>
      </c>
      <c r="F941" s="3">
        <v>60.6</v>
      </c>
      <c r="G941" s="3">
        <v>49.0</v>
      </c>
      <c r="H941" s="3">
        <v>39.1</v>
      </c>
      <c r="I941" s="3">
        <v>84.6</v>
      </c>
      <c r="J941" s="3">
        <v>51.4</v>
      </c>
      <c r="K941" s="3">
        <v>47.9</v>
      </c>
      <c r="L941" s="3">
        <v>50.3</v>
      </c>
      <c r="M941" s="12">
        <f>(PMI!$D941+PMI!$E941)/2</f>
        <v>49.9</v>
      </c>
      <c r="N941" s="12">
        <f>(PMI!$F941+PMI!$G941+PMI!$I941+PMI!$L941)/4</f>
        <v>61.125</v>
      </c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10">
        <v>46174.0</v>
      </c>
      <c r="B942" s="3">
        <v>54.0</v>
      </c>
      <c r="C942" s="3">
        <v>56.8</v>
      </c>
      <c r="D942" s="3">
        <v>54.3</v>
      </c>
      <c r="E942" s="3">
        <v>48.6</v>
      </c>
      <c r="F942" s="3">
        <v>60.6</v>
      </c>
      <c r="G942" s="3">
        <v>49.9</v>
      </c>
      <c r="H942" s="3">
        <v>42.7</v>
      </c>
      <c r="I942" s="3">
        <v>82.1</v>
      </c>
      <c r="J942" s="3">
        <v>52.2</v>
      </c>
      <c r="K942" s="3">
        <v>50.6</v>
      </c>
      <c r="L942" s="3">
        <v>53.0</v>
      </c>
      <c r="M942" s="12">
        <f>(PMI!$D942+PMI!$E942)/2</f>
        <v>51.45</v>
      </c>
      <c r="N942" s="12">
        <f>(PMI!$F942+PMI!$G942+PMI!$I942+PMI!$L942)/4</f>
        <v>61.4</v>
      </c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23">
        <v>46204.0</v>
      </c>
      <c r="B943" s="24">
        <v>53.3</v>
      </c>
      <c r="C943" s="24">
        <v>56.0</v>
      </c>
      <c r="D943" s="24">
        <v>52.2</v>
      </c>
      <c r="E943" s="24">
        <v>49.7</v>
      </c>
      <c r="F943" s="24">
        <v>57.4</v>
      </c>
      <c r="G943" s="24">
        <v>51.4</v>
      </c>
      <c r="H943" s="24">
        <v>42.3</v>
      </c>
      <c r="I943" s="24">
        <v>73.0</v>
      </c>
      <c r="J943" s="24">
        <v>50.5</v>
      </c>
      <c r="K943" s="24">
        <v>48.5</v>
      </c>
      <c r="L943" s="24">
        <v>52.9</v>
      </c>
      <c r="M943" s="12">
        <f>(PMI!$D943+PMI!$E943)/2</f>
        <v>50.95</v>
      </c>
      <c r="N943" s="12">
        <f>(PMI!$F943+PMI!$G943+PMI!$I943+PMI!$L943)/4</f>
        <v>58.675</v>
      </c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16"/>
      <c r="B944" s="21"/>
      <c r="C944" s="21"/>
      <c r="D944" s="21"/>
      <c r="E944" s="21"/>
      <c r="F944" s="3"/>
      <c r="G944" s="3"/>
      <c r="H944" s="3"/>
      <c r="I944" s="3"/>
      <c r="J944" s="3"/>
      <c r="K944" s="3"/>
      <c r="L944" s="3"/>
      <c r="M944" s="12"/>
      <c r="N944" s="12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10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12"/>
      <c r="N945" s="12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10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12"/>
      <c r="N946" s="12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10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12"/>
      <c r="N947" s="12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10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12"/>
      <c r="N948" s="12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10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12"/>
      <c r="N949" s="12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10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12"/>
      <c r="N950" s="12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10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12"/>
      <c r="N951" s="12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10"/>
      <c r="B952" s="3"/>
      <c r="C952" s="3"/>
      <c r="D952" s="3"/>
      <c r="E952" s="3"/>
      <c r="F952" s="21"/>
      <c r="G952" s="21"/>
      <c r="H952" s="21"/>
      <c r="I952" s="3"/>
      <c r="J952" s="3"/>
      <c r="K952" s="3"/>
      <c r="L952" s="3"/>
      <c r="M952" s="12"/>
      <c r="N952" s="12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2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2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2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2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2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2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2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2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2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2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2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2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2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2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2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2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2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2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2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2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2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2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2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2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2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2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2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2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2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2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2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2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2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2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2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2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2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2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2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2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2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2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2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2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2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2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2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2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conditionalFormatting sqref="B883:B905 B907:B909 B911:B918 B920:B921 B924:B10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83:C905 C907:C909 C911:C918 C920:C921 C924:C9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83:D905 D907:D909 D911:D918 D920:D921 D924:D9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83:E905 E907:E909 E911:E918 E920:E921 E924:E92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83:F905 F907:F909 F911:F918 F920:F921 F924:F9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83:G905 G907:G909 G911:G918 G920:G921 G924:G9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83:H905 H907:H909 H911:H918 H920:H921 H924:H925 H937:H951 I926:I929 I953:I100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83:J909 J911:J918 J920:J921 J924:J92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883:I905 I907:I909 I911:I918 I920:I921 I924:I925 J926:J929 J953:J100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883:L909 L911:L918 L920:L921 L924:L92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883:M94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883:K909 K911:K918 K920:K921 K924:K925 M953:M100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94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44"/>
    <col customWidth="1" min="2" max="2" width="6.78"/>
    <col customWidth="1" min="3" max="3" width="10.78"/>
    <col customWidth="1" min="4" max="4" width="12.33"/>
    <col customWidth="1" min="5" max="5" width="14.67"/>
    <col customWidth="1" min="6" max="6" width="23.11"/>
    <col customWidth="1" min="7" max="7" width="22.0"/>
    <col customWidth="1" min="8" max="8" width="12.67"/>
    <col customWidth="1" min="9" max="9" width="9.78"/>
    <col customWidth="1" min="10" max="10" width="17.67"/>
    <col customWidth="1" min="11" max="11" width="12.67"/>
    <col customWidth="1" min="12" max="12" width="19.0"/>
    <col customWidth="1" min="13" max="13" width="13.78"/>
    <col customWidth="1" min="14" max="26" width="10.78"/>
  </cols>
  <sheetData>
    <row r="1" ht="28.5" customHeight="1">
      <c r="A1" s="26" t="s">
        <v>0</v>
      </c>
      <c r="B1" s="26" t="s">
        <v>14</v>
      </c>
      <c r="C1" s="26" t="s">
        <v>15</v>
      </c>
      <c r="D1" s="26" t="s">
        <v>16</v>
      </c>
      <c r="E1" s="26" t="s">
        <v>17</v>
      </c>
      <c r="F1" s="26" t="s">
        <v>18</v>
      </c>
      <c r="G1" s="26" t="s">
        <v>19</v>
      </c>
      <c r="H1" s="26" t="s">
        <v>20</v>
      </c>
      <c r="I1" s="26" t="s">
        <v>21</v>
      </c>
      <c r="J1" s="26" t="s">
        <v>22</v>
      </c>
      <c r="K1" s="26" t="s">
        <v>23</v>
      </c>
      <c r="L1" s="26" t="s">
        <v>24</v>
      </c>
      <c r="M1" s="27" t="s">
        <v>25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5.75" customHeight="1">
      <c r="A2" s="17">
        <v>35827.0</v>
      </c>
      <c r="B2" s="18"/>
      <c r="C2" s="18">
        <v>56.5</v>
      </c>
      <c r="D2" s="18">
        <v>58.8</v>
      </c>
      <c r="E2" s="18">
        <v>55.0</v>
      </c>
      <c r="F2" s="18"/>
      <c r="G2" s="18">
        <v>49.0</v>
      </c>
      <c r="H2" s="18">
        <v>54.9</v>
      </c>
      <c r="I2" s="18">
        <v>49.0</v>
      </c>
      <c r="J2" s="18">
        <v>48.5</v>
      </c>
      <c r="K2" s="18">
        <v>52.2</v>
      </c>
      <c r="L2" s="18">
        <v>67.0</v>
      </c>
      <c r="M2" s="29">
        <f t="shared" ref="M2:M343" si="1">(D2+F2+H2)/3</f>
        <v>37.9</v>
      </c>
      <c r="N2" s="30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5.75" customHeight="1">
      <c r="A3" s="17">
        <v>35855.0</v>
      </c>
      <c r="B3" s="20"/>
      <c r="C3" s="20">
        <v>61.4</v>
      </c>
      <c r="D3" s="20">
        <v>57.4</v>
      </c>
      <c r="E3" s="20">
        <v>55.0</v>
      </c>
      <c r="F3" s="20"/>
      <c r="G3" s="20">
        <v>48.5</v>
      </c>
      <c r="H3" s="20">
        <v>52.7</v>
      </c>
      <c r="I3" s="20">
        <v>49.0</v>
      </c>
      <c r="J3" s="20">
        <v>52.0</v>
      </c>
      <c r="K3" s="20">
        <v>51.5</v>
      </c>
      <c r="L3" s="20">
        <v>61.5</v>
      </c>
      <c r="M3" s="31">
        <f t="shared" si="1"/>
        <v>36.7</v>
      </c>
      <c r="N3" s="30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5.75" customHeight="1">
      <c r="A4" s="17">
        <v>35886.0</v>
      </c>
      <c r="B4" s="18"/>
      <c r="C4" s="18">
        <v>58.9</v>
      </c>
      <c r="D4" s="18">
        <v>59.1</v>
      </c>
      <c r="E4" s="18">
        <v>54.8</v>
      </c>
      <c r="F4" s="18"/>
      <c r="G4" s="18">
        <v>50.5</v>
      </c>
      <c r="H4" s="18">
        <v>51.6</v>
      </c>
      <c r="I4" s="18">
        <v>51.5</v>
      </c>
      <c r="J4" s="18">
        <v>51.5</v>
      </c>
      <c r="K4" s="18">
        <v>52.6</v>
      </c>
      <c r="L4" s="18">
        <v>59.5</v>
      </c>
      <c r="M4" s="31">
        <f t="shared" si="1"/>
        <v>36.9</v>
      </c>
      <c r="N4" s="30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5.75" customHeight="1">
      <c r="A5" s="17">
        <v>35916.0</v>
      </c>
      <c r="B5" s="18"/>
      <c r="C5" s="18">
        <v>57.0</v>
      </c>
      <c r="D5" s="18">
        <v>55.1</v>
      </c>
      <c r="E5" s="18">
        <v>54.1</v>
      </c>
      <c r="F5" s="18"/>
      <c r="G5" s="18">
        <v>52.5</v>
      </c>
      <c r="H5" s="18">
        <v>47.9</v>
      </c>
      <c r="I5" s="18">
        <v>51.5</v>
      </c>
      <c r="J5" s="18">
        <v>58.5</v>
      </c>
      <c r="K5" s="18">
        <v>50.0</v>
      </c>
      <c r="L5" s="18">
        <v>64.0</v>
      </c>
      <c r="M5" s="31">
        <f t="shared" si="1"/>
        <v>34.33333333</v>
      </c>
      <c r="N5" s="30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5.75" customHeight="1">
      <c r="A6" s="17">
        <v>35947.0</v>
      </c>
      <c r="B6" s="18"/>
      <c r="C6" s="18">
        <v>58.6</v>
      </c>
      <c r="D6" s="18">
        <v>57.5</v>
      </c>
      <c r="E6" s="18">
        <v>51.6</v>
      </c>
      <c r="F6" s="18"/>
      <c r="G6" s="18">
        <v>52.5</v>
      </c>
      <c r="H6" s="18">
        <v>46.8</v>
      </c>
      <c r="I6" s="18">
        <v>51.0</v>
      </c>
      <c r="J6" s="18">
        <v>56.5</v>
      </c>
      <c r="K6" s="18">
        <v>52.1</v>
      </c>
      <c r="L6" s="18">
        <v>66.5</v>
      </c>
      <c r="M6" s="31">
        <f t="shared" si="1"/>
        <v>34.76666667</v>
      </c>
      <c r="N6" s="30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75" customHeight="1">
      <c r="A7" s="17">
        <v>35977.0</v>
      </c>
      <c r="B7" s="18"/>
      <c r="C7" s="18">
        <v>61.2</v>
      </c>
      <c r="D7" s="18">
        <v>60.2</v>
      </c>
      <c r="E7" s="18">
        <v>52.8</v>
      </c>
      <c r="F7" s="18"/>
      <c r="G7" s="18">
        <v>50.0</v>
      </c>
      <c r="H7" s="18">
        <v>47.2</v>
      </c>
      <c r="I7" s="18">
        <v>53.0</v>
      </c>
      <c r="J7" s="18">
        <v>48.5</v>
      </c>
      <c r="K7" s="18">
        <v>52.8</v>
      </c>
      <c r="L7" s="18">
        <v>63.5</v>
      </c>
      <c r="M7" s="31">
        <f t="shared" si="1"/>
        <v>35.8</v>
      </c>
      <c r="N7" s="30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5.75" customHeight="1">
      <c r="A8" s="17">
        <v>36008.0</v>
      </c>
      <c r="B8" s="18"/>
      <c r="C8" s="18">
        <v>58.7</v>
      </c>
      <c r="D8" s="18">
        <v>55.8</v>
      </c>
      <c r="E8" s="18">
        <v>52.5</v>
      </c>
      <c r="F8" s="18"/>
      <c r="G8" s="18">
        <v>49.5</v>
      </c>
      <c r="H8" s="18">
        <v>45.5</v>
      </c>
      <c r="I8" s="18">
        <v>50.0</v>
      </c>
      <c r="J8" s="18">
        <v>55.0</v>
      </c>
      <c r="K8" s="18">
        <v>54.5</v>
      </c>
      <c r="L8" s="18">
        <v>69.0</v>
      </c>
      <c r="M8" s="31">
        <f t="shared" si="1"/>
        <v>33.76666667</v>
      </c>
      <c r="N8" s="30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5.75" customHeight="1">
      <c r="A9" s="17">
        <v>36039.0</v>
      </c>
      <c r="B9" s="18"/>
      <c r="C9" s="18">
        <v>58.6</v>
      </c>
      <c r="D9" s="18">
        <v>58.2</v>
      </c>
      <c r="E9" s="18">
        <v>51.9</v>
      </c>
      <c r="F9" s="18"/>
      <c r="G9" s="18">
        <v>48.0</v>
      </c>
      <c r="H9" s="18">
        <v>47.0</v>
      </c>
      <c r="I9" s="18">
        <v>52.0</v>
      </c>
      <c r="J9" s="18">
        <v>51.5</v>
      </c>
      <c r="K9" s="18">
        <v>50.9</v>
      </c>
      <c r="L9" s="18">
        <v>60.5</v>
      </c>
      <c r="M9" s="31">
        <f t="shared" si="1"/>
        <v>35.06666667</v>
      </c>
      <c r="N9" s="30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5.75" customHeight="1">
      <c r="A10" s="17">
        <v>36069.0</v>
      </c>
      <c r="B10" s="18"/>
      <c r="C10" s="18">
        <v>52.2</v>
      </c>
      <c r="D10" s="18">
        <v>55.3</v>
      </c>
      <c r="E10" s="18">
        <v>52.3</v>
      </c>
      <c r="F10" s="18"/>
      <c r="G10" s="18">
        <v>48.0</v>
      </c>
      <c r="H10" s="18">
        <v>47.9</v>
      </c>
      <c r="I10" s="18">
        <v>56.5</v>
      </c>
      <c r="J10" s="18">
        <v>54.0</v>
      </c>
      <c r="K10" s="18">
        <v>55.2</v>
      </c>
      <c r="L10" s="18">
        <v>62.5</v>
      </c>
      <c r="M10" s="31">
        <f t="shared" si="1"/>
        <v>34.4</v>
      </c>
      <c r="N10" s="32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5.75" customHeight="1">
      <c r="A11" s="17">
        <v>36100.0</v>
      </c>
      <c r="B11" s="18"/>
      <c r="C11" s="18">
        <v>57.4</v>
      </c>
      <c r="D11" s="18">
        <v>55.9</v>
      </c>
      <c r="E11" s="18">
        <v>53.7</v>
      </c>
      <c r="F11" s="18"/>
      <c r="G11" s="18">
        <v>50.5</v>
      </c>
      <c r="H11" s="18">
        <v>46.2</v>
      </c>
      <c r="I11" s="18">
        <v>54.0</v>
      </c>
      <c r="J11" s="18">
        <v>54.0</v>
      </c>
      <c r="K11" s="18">
        <v>52.0</v>
      </c>
      <c r="L11" s="18">
        <v>65.0</v>
      </c>
      <c r="M11" s="31">
        <f t="shared" si="1"/>
        <v>34.03333333</v>
      </c>
      <c r="N11" s="30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5.75" customHeight="1">
      <c r="A12" s="17">
        <v>36130.0</v>
      </c>
      <c r="B12" s="18"/>
      <c r="C12" s="18">
        <v>54.0</v>
      </c>
      <c r="D12" s="18">
        <v>54.7</v>
      </c>
      <c r="E12" s="18">
        <v>53.1</v>
      </c>
      <c r="F12" s="18"/>
      <c r="G12" s="18">
        <v>48.5</v>
      </c>
      <c r="H12" s="18">
        <v>49.3</v>
      </c>
      <c r="I12" s="18">
        <v>49.0</v>
      </c>
      <c r="J12" s="18">
        <v>48.5</v>
      </c>
      <c r="K12" s="18">
        <v>48.8</v>
      </c>
      <c r="L12" s="18">
        <v>65.5</v>
      </c>
      <c r="M12" s="31">
        <f t="shared" si="1"/>
        <v>34.66666667</v>
      </c>
      <c r="N12" s="30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5.75" customHeight="1">
      <c r="A13" s="17">
        <v>36161.0</v>
      </c>
      <c r="B13" s="18"/>
      <c r="C13" s="18">
        <v>54.9</v>
      </c>
      <c r="D13" s="18">
        <v>52.7</v>
      </c>
      <c r="E13" s="18">
        <v>52.6</v>
      </c>
      <c r="F13" s="18"/>
      <c r="G13" s="18">
        <v>50.0</v>
      </c>
      <c r="H13" s="18">
        <v>47.3</v>
      </c>
      <c r="I13" s="18">
        <v>46.5</v>
      </c>
      <c r="J13" s="18">
        <v>45.0</v>
      </c>
      <c r="K13" s="18">
        <v>50.7</v>
      </c>
      <c r="L13" s="18">
        <v>63.0</v>
      </c>
      <c r="M13" s="31">
        <f t="shared" si="1"/>
        <v>33.33333333</v>
      </c>
      <c r="N13" s="30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5.75" customHeight="1">
      <c r="A14" s="17">
        <v>36192.0</v>
      </c>
      <c r="B14" s="18"/>
      <c r="C14" s="18">
        <v>54.2</v>
      </c>
      <c r="D14" s="18">
        <v>53.5</v>
      </c>
      <c r="E14" s="18">
        <v>50.9</v>
      </c>
      <c r="F14" s="18"/>
      <c r="G14" s="18">
        <v>50.5</v>
      </c>
      <c r="H14" s="18">
        <v>48.5</v>
      </c>
      <c r="I14" s="18">
        <v>47.0</v>
      </c>
      <c r="J14" s="18">
        <v>49.0</v>
      </c>
      <c r="K14" s="18">
        <v>50.3</v>
      </c>
      <c r="L14" s="18">
        <v>64.5</v>
      </c>
      <c r="M14" s="31">
        <f t="shared" si="1"/>
        <v>34</v>
      </c>
      <c r="N14" s="30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5.75" customHeight="1">
      <c r="A15" s="17">
        <v>36220.0</v>
      </c>
      <c r="B15" s="18"/>
      <c r="C15" s="18">
        <v>58.8</v>
      </c>
      <c r="D15" s="18">
        <v>57.5</v>
      </c>
      <c r="E15" s="18">
        <v>51.4</v>
      </c>
      <c r="F15" s="18"/>
      <c r="G15" s="18">
        <v>47.0</v>
      </c>
      <c r="H15" s="18">
        <v>47.0</v>
      </c>
      <c r="I15" s="18">
        <v>49.0</v>
      </c>
      <c r="J15" s="18">
        <v>46.5</v>
      </c>
      <c r="K15" s="18">
        <v>53.1</v>
      </c>
      <c r="L15" s="18">
        <v>61.0</v>
      </c>
      <c r="M15" s="31">
        <f t="shared" si="1"/>
        <v>34.83333333</v>
      </c>
      <c r="N15" s="30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5.75" customHeight="1">
      <c r="A16" s="17">
        <v>36251.0</v>
      </c>
      <c r="B16" s="18"/>
      <c r="C16" s="18">
        <v>57.3</v>
      </c>
      <c r="D16" s="18">
        <v>56.6</v>
      </c>
      <c r="E16" s="18">
        <v>52.2</v>
      </c>
      <c r="F16" s="18"/>
      <c r="G16" s="18">
        <v>49.5</v>
      </c>
      <c r="H16" s="18">
        <v>45.5</v>
      </c>
      <c r="I16" s="18">
        <v>51.5</v>
      </c>
      <c r="J16" s="18">
        <v>47.5</v>
      </c>
      <c r="K16" s="18">
        <v>52.7</v>
      </c>
      <c r="L16" s="18">
        <v>60.5</v>
      </c>
      <c r="M16" s="31">
        <f t="shared" si="1"/>
        <v>34.03333333</v>
      </c>
      <c r="N16" s="30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5.75" customHeight="1">
      <c r="A17" s="17">
        <v>36281.0</v>
      </c>
      <c r="B17" s="18"/>
      <c r="C17" s="18">
        <v>59.5</v>
      </c>
      <c r="D17" s="18">
        <v>58.1</v>
      </c>
      <c r="E17" s="18">
        <v>51.1</v>
      </c>
      <c r="F17" s="18"/>
      <c r="G17" s="18">
        <v>47.5</v>
      </c>
      <c r="H17" s="18">
        <v>48.9</v>
      </c>
      <c r="I17" s="18">
        <v>55.5</v>
      </c>
      <c r="J17" s="18">
        <v>58.5</v>
      </c>
      <c r="K17" s="18">
        <v>55.3</v>
      </c>
      <c r="L17" s="18">
        <v>61.5</v>
      </c>
      <c r="M17" s="31">
        <f t="shared" si="1"/>
        <v>35.66666667</v>
      </c>
      <c r="N17" s="30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75" customHeight="1">
      <c r="A18" s="17">
        <v>36312.0</v>
      </c>
      <c r="B18" s="18"/>
      <c r="C18" s="18">
        <v>59.8</v>
      </c>
      <c r="D18" s="18">
        <v>58.6</v>
      </c>
      <c r="E18" s="18">
        <v>52.0</v>
      </c>
      <c r="F18" s="18"/>
      <c r="G18" s="18">
        <v>48.5</v>
      </c>
      <c r="H18" s="18">
        <v>51.4</v>
      </c>
      <c r="I18" s="18">
        <v>51.0</v>
      </c>
      <c r="J18" s="18">
        <v>56.5</v>
      </c>
      <c r="K18" s="18">
        <v>52.6</v>
      </c>
      <c r="L18" s="18">
        <v>63.0</v>
      </c>
      <c r="M18" s="31">
        <f t="shared" si="1"/>
        <v>36.66666667</v>
      </c>
      <c r="N18" s="30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17">
        <v>36342.0</v>
      </c>
      <c r="B19" s="18"/>
      <c r="C19" s="18">
        <v>57.7</v>
      </c>
      <c r="D19" s="18">
        <v>56.4</v>
      </c>
      <c r="E19" s="18">
        <v>52.9</v>
      </c>
      <c r="F19" s="18"/>
      <c r="G19" s="18">
        <v>51.5</v>
      </c>
      <c r="H19" s="18">
        <v>52.9</v>
      </c>
      <c r="I19" s="18">
        <v>50.5</v>
      </c>
      <c r="J19" s="18">
        <v>58.5</v>
      </c>
      <c r="K19" s="18">
        <v>54.4</v>
      </c>
      <c r="L19" s="18">
        <v>61.0</v>
      </c>
      <c r="M19" s="31">
        <f t="shared" si="1"/>
        <v>36.43333333</v>
      </c>
      <c r="N19" s="30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17">
        <v>36373.0</v>
      </c>
      <c r="B20" s="18"/>
      <c r="C20" s="18">
        <v>57.9</v>
      </c>
      <c r="D20" s="18">
        <v>59.7</v>
      </c>
      <c r="E20" s="18">
        <v>55.3</v>
      </c>
      <c r="F20" s="18"/>
      <c r="G20" s="18">
        <v>49.5</v>
      </c>
      <c r="H20" s="18">
        <v>53.2</v>
      </c>
      <c r="I20" s="18">
        <v>52.0</v>
      </c>
      <c r="J20" s="18">
        <v>53.5</v>
      </c>
      <c r="K20" s="18">
        <v>51.9</v>
      </c>
      <c r="L20" s="18">
        <v>61.0</v>
      </c>
      <c r="M20" s="31">
        <f t="shared" si="1"/>
        <v>37.63333333</v>
      </c>
      <c r="N20" s="30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17">
        <v>36404.0</v>
      </c>
      <c r="B21" s="18"/>
      <c r="C21" s="18">
        <v>60.7</v>
      </c>
      <c r="D21" s="18">
        <v>58.1</v>
      </c>
      <c r="E21" s="18">
        <v>53.4</v>
      </c>
      <c r="F21" s="18"/>
      <c r="G21" s="18">
        <v>49.5</v>
      </c>
      <c r="H21" s="18">
        <v>57.7</v>
      </c>
      <c r="I21" s="18">
        <v>50.0</v>
      </c>
      <c r="J21" s="18">
        <v>57.5</v>
      </c>
      <c r="K21" s="18">
        <v>55.9</v>
      </c>
      <c r="L21" s="18">
        <v>61.0</v>
      </c>
      <c r="M21" s="31">
        <f t="shared" si="1"/>
        <v>38.6</v>
      </c>
      <c r="N21" s="30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17">
        <v>36434.0</v>
      </c>
      <c r="B22" s="18"/>
      <c r="C22" s="18">
        <v>60.3</v>
      </c>
      <c r="D22" s="18">
        <v>59.6</v>
      </c>
      <c r="E22" s="18">
        <v>52.3</v>
      </c>
      <c r="F22" s="18"/>
      <c r="G22" s="18">
        <v>52.0</v>
      </c>
      <c r="H22" s="18">
        <v>58.9</v>
      </c>
      <c r="I22" s="18">
        <v>51.5</v>
      </c>
      <c r="J22" s="18">
        <v>58.0</v>
      </c>
      <c r="K22" s="18">
        <v>52.3</v>
      </c>
      <c r="L22" s="18">
        <v>63.0</v>
      </c>
      <c r="M22" s="31">
        <f t="shared" si="1"/>
        <v>39.5</v>
      </c>
      <c r="N22" s="30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17">
        <v>36465.0</v>
      </c>
      <c r="B23" s="18"/>
      <c r="C23" s="18">
        <v>59.1</v>
      </c>
      <c r="D23" s="18">
        <v>60.1</v>
      </c>
      <c r="E23" s="18">
        <v>51.4</v>
      </c>
      <c r="F23" s="18"/>
      <c r="G23" s="18">
        <v>52.0</v>
      </c>
      <c r="H23" s="18">
        <v>64.2</v>
      </c>
      <c r="I23" s="18">
        <v>52.5</v>
      </c>
      <c r="J23" s="18">
        <v>62.5</v>
      </c>
      <c r="K23" s="18">
        <v>55.5</v>
      </c>
      <c r="L23" s="18">
        <v>61.5</v>
      </c>
      <c r="M23" s="31">
        <f t="shared" si="1"/>
        <v>41.43333333</v>
      </c>
      <c r="N23" s="30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17">
        <v>36495.0</v>
      </c>
      <c r="B24" s="20"/>
      <c r="C24" s="20">
        <v>60.7</v>
      </c>
      <c r="D24" s="20">
        <v>62.0</v>
      </c>
      <c r="E24" s="20">
        <v>51.7</v>
      </c>
      <c r="F24" s="20"/>
      <c r="G24" s="20">
        <v>47.5</v>
      </c>
      <c r="H24" s="20">
        <v>58.9</v>
      </c>
      <c r="I24" s="20">
        <v>52.0</v>
      </c>
      <c r="J24" s="20">
        <v>54.0</v>
      </c>
      <c r="K24" s="20">
        <v>55.7</v>
      </c>
      <c r="L24" s="20">
        <v>58.0</v>
      </c>
      <c r="M24" s="31">
        <f t="shared" si="1"/>
        <v>40.3</v>
      </c>
      <c r="N24" s="30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17">
        <v>36526.0</v>
      </c>
      <c r="B25" s="18"/>
      <c r="C25" s="18">
        <v>57.0</v>
      </c>
      <c r="D25" s="18">
        <v>55.5</v>
      </c>
      <c r="E25" s="18">
        <v>50.6</v>
      </c>
      <c r="F25" s="18"/>
      <c r="G25" s="18">
        <v>52.5</v>
      </c>
      <c r="H25" s="18">
        <v>61.0</v>
      </c>
      <c r="I25" s="18">
        <v>49.0</v>
      </c>
      <c r="J25" s="18">
        <v>56.0</v>
      </c>
      <c r="K25" s="18">
        <v>53.8</v>
      </c>
      <c r="L25" s="18">
        <v>62.5</v>
      </c>
      <c r="M25" s="31">
        <f t="shared" si="1"/>
        <v>38.83333333</v>
      </c>
      <c r="N25" s="30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17">
        <v>36557.0</v>
      </c>
      <c r="B26" s="18"/>
      <c r="C26" s="18">
        <v>60.4</v>
      </c>
      <c r="D26" s="18">
        <v>61.1</v>
      </c>
      <c r="E26" s="18">
        <v>53.0</v>
      </c>
      <c r="F26" s="18"/>
      <c r="G26" s="18">
        <v>50.0</v>
      </c>
      <c r="H26" s="18">
        <v>60.5</v>
      </c>
      <c r="I26" s="18">
        <v>49.0</v>
      </c>
      <c r="J26" s="18">
        <v>58.0</v>
      </c>
      <c r="K26" s="18">
        <v>50.8</v>
      </c>
      <c r="L26" s="18">
        <v>61.5</v>
      </c>
      <c r="M26" s="31">
        <f t="shared" si="1"/>
        <v>40.53333333</v>
      </c>
      <c r="N26" s="30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17">
        <v>36586.0</v>
      </c>
      <c r="B27" s="18"/>
      <c r="C27" s="18">
        <v>57.7</v>
      </c>
      <c r="D27" s="18">
        <v>60.8</v>
      </c>
      <c r="E27" s="18">
        <v>52.3</v>
      </c>
      <c r="F27" s="18"/>
      <c r="G27" s="18">
        <v>49.5</v>
      </c>
      <c r="H27" s="18">
        <v>61.4</v>
      </c>
      <c r="I27" s="18">
        <v>48.5</v>
      </c>
      <c r="J27" s="18">
        <v>57.5</v>
      </c>
      <c r="K27" s="18">
        <v>54.9</v>
      </c>
      <c r="L27" s="18">
        <v>67.0</v>
      </c>
      <c r="M27" s="31">
        <f t="shared" si="1"/>
        <v>40.73333333</v>
      </c>
      <c r="N27" s="30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17">
        <v>36617.0</v>
      </c>
      <c r="B28" s="18"/>
      <c r="C28" s="18">
        <v>58.2</v>
      </c>
      <c r="D28" s="18">
        <v>58.9</v>
      </c>
      <c r="E28" s="18">
        <v>52.8</v>
      </c>
      <c r="F28" s="18"/>
      <c r="G28" s="18">
        <v>49.5</v>
      </c>
      <c r="H28" s="18">
        <v>66.5</v>
      </c>
      <c r="I28" s="18">
        <v>52.0</v>
      </c>
      <c r="J28" s="18">
        <v>47.5</v>
      </c>
      <c r="K28" s="18">
        <v>51.9</v>
      </c>
      <c r="L28" s="18">
        <v>66.5</v>
      </c>
      <c r="M28" s="31">
        <f t="shared" si="1"/>
        <v>41.8</v>
      </c>
      <c r="N28" s="30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17">
        <v>36647.0</v>
      </c>
      <c r="B29" s="18"/>
      <c r="C29" s="18">
        <v>60.5</v>
      </c>
      <c r="D29" s="18">
        <v>61.7</v>
      </c>
      <c r="E29" s="18">
        <v>55.0</v>
      </c>
      <c r="F29" s="18"/>
      <c r="G29" s="18">
        <v>51.5</v>
      </c>
      <c r="H29" s="18">
        <v>68.6</v>
      </c>
      <c r="I29" s="18">
        <v>53.0</v>
      </c>
      <c r="J29" s="18">
        <v>55.5</v>
      </c>
      <c r="K29" s="18">
        <v>54.7</v>
      </c>
      <c r="L29" s="18">
        <v>60.5</v>
      </c>
      <c r="M29" s="31">
        <f t="shared" si="1"/>
        <v>43.43333333</v>
      </c>
      <c r="N29" s="30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17">
        <v>36678.0</v>
      </c>
      <c r="B30" s="18"/>
      <c r="C30" s="18">
        <v>61.1</v>
      </c>
      <c r="D30" s="18">
        <v>61.5</v>
      </c>
      <c r="E30" s="18">
        <v>54.4</v>
      </c>
      <c r="F30" s="18"/>
      <c r="G30" s="18">
        <v>53.5</v>
      </c>
      <c r="H30" s="18">
        <v>65.0</v>
      </c>
      <c r="I30" s="18">
        <v>55.5</v>
      </c>
      <c r="J30" s="18">
        <v>59.0</v>
      </c>
      <c r="K30" s="18">
        <v>54.6</v>
      </c>
      <c r="L30" s="18">
        <v>64.0</v>
      </c>
      <c r="M30" s="31">
        <f t="shared" si="1"/>
        <v>42.16666667</v>
      </c>
      <c r="N30" s="30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17">
        <v>36708.0</v>
      </c>
      <c r="B31" s="18"/>
      <c r="C31" s="18">
        <v>59.8</v>
      </c>
      <c r="D31" s="18">
        <v>60.5</v>
      </c>
      <c r="E31" s="18">
        <v>53.5</v>
      </c>
      <c r="F31" s="18"/>
      <c r="G31" s="18">
        <v>49.5</v>
      </c>
      <c r="H31" s="18">
        <v>64.2</v>
      </c>
      <c r="I31" s="18">
        <v>53.5</v>
      </c>
      <c r="J31" s="18">
        <v>62.0</v>
      </c>
      <c r="K31" s="18">
        <v>54.7</v>
      </c>
      <c r="L31" s="18">
        <v>63.0</v>
      </c>
      <c r="M31" s="31">
        <f t="shared" si="1"/>
        <v>41.56666667</v>
      </c>
      <c r="N31" s="30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17">
        <v>36739.0</v>
      </c>
      <c r="B32" s="18"/>
      <c r="C32" s="18">
        <v>60.3</v>
      </c>
      <c r="D32" s="18">
        <v>59.4</v>
      </c>
      <c r="E32" s="18">
        <v>54.4</v>
      </c>
      <c r="F32" s="18"/>
      <c r="G32" s="18">
        <v>54.0</v>
      </c>
      <c r="H32" s="18">
        <v>65.0</v>
      </c>
      <c r="I32" s="18">
        <v>56.5</v>
      </c>
      <c r="J32" s="18">
        <v>57.0</v>
      </c>
      <c r="K32" s="18">
        <v>52.6</v>
      </c>
      <c r="L32" s="18">
        <v>66.5</v>
      </c>
      <c r="M32" s="31">
        <f t="shared" si="1"/>
        <v>41.46666667</v>
      </c>
      <c r="N32" s="30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17">
        <v>36770.0</v>
      </c>
      <c r="B33" s="18"/>
      <c r="C33" s="18">
        <v>56.5</v>
      </c>
      <c r="D33" s="18">
        <v>59.7</v>
      </c>
      <c r="E33" s="18">
        <v>50.5</v>
      </c>
      <c r="F33" s="18"/>
      <c r="G33" s="18">
        <v>51.0</v>
      </c>
      <c r="H33" s="18">
        <v>62.1</v>
      </c>
      <c r="I33" s="18">
        <v>50.5</v>
      </c>
      <c r="J33" s="18">
        <v>53.0</v>
      </c>
      <c r="K33" s="18">
        <v>53.1</v>
      </c>
      <c r="L33" s="18">
        <v>68.0</v>
      </c>
      <c r="M33" s="31">
        <f t="shared" si="1"/>
        <v>40.6</v>
      </c>
      <c r="N33" s="30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17">
        <v>36800.0</v>
      </c>
      <c r="B34" s="18"/>
      <c r="C34" s="18">
        <v>61.3</v>
      </c>
      <c r="D34" s="18">
        <v>59.8</v>
      </c>
      <c r="E34" s="18">
        <v>54.2</v>
      </c>
      <c r="F34" s="18"/>
      <c r="G34" s="18">
        <v>51.0</v>
      </c>
      <c r="H34" s="18">
        <v>59.2</v>
      </c>
      <c r="I34" s="18">
        <v>52.0</v>
      </c>
      <c r="J34" s="18">
        <v>56.0</v>
      </c>
      <c r="K34" s="18">
        <v>53.9</v>
      </c>
      <c r="L34" s="18">
        <v>61.5</v>
      </c>
      <c r="M34" s="31">
        <f t="shared" si="1"/>
        <v>39.66666667</v>
      </c>
      <c r="N34" s="30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17">
        <v>36831.0</v>
      </c>
      <c r="B35" s="18"/>
      <c r="C35" s="18">
        <v>59.8</v>
      </c>
      <c r="D35" s="18">
        <v>60.4</v>
      </c>
      <c r="E35" s="18">
        <v>53.5</v>
      </c>
      <c r="F35" s="18"/>
      <c r="G35" s="18">
        <v>53.5</v>
      </c>
      <c r="H35" s="18">
        <v>62.1</v>
      </c>
      <c r="I35" s="18">
        <v>56.5</v>
      </c>
      <c r="J35" s="18">
        <v>51.5</v>
      </c>
      <c r="K35" s="18">
        <v>46.0</v>
      </c>
      <c r="L35" s="18">
        <v>65.0</v>
      </c>
      <c r="M35" s="31">
        <f t="shared" si="1"/>
        <v>40.83333333</v>
      </c>
      <c r="N35" s="30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17">
        <v>36861.0</v>
      </c>
      <c r="B36" s="18"/>
      <c r="C36" s="18">
        <v>58.6</v>
      </c>
      <c r="D36" s="18">
        <v>59.2</v>
      </c>
      <c r="E36" s="18">
        <v>54.5</v>
      </c>
      <c r="F36" s="18"/>
      <c r="G36" s="18">
        <v>55.0</v>
      </c>
      <c r="H36" s="18">
        <v>63.7</v>
      </c>
      <c r="I36" s="18">
        <v>53.5</v>
      </c>
      <c r="J36" s="18">
        <v>55.0</v>
      </c>
      <c r="K36" s="18">
        <v>58.9</v>
      </c>
      <c r="L36" s="18">
        <v>67.5</v>
      </c>
      <c r="M36" s="31">
        <f t="shared" si="1"/>
        <v>40.96666667</v>
      </c>
      <c r="N36" s="30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17">
        <v>36892.0</v>
      </c>
      <c r="B37" s="18"/>
      <c r="C37" s="18">
        <v>59.7</v>
      </c>
      <c r="D37" s="18">
        <v>56.4</v>
      </c>
      <c r="E37" s="18">
        <v>54.6</v>
      </c>
      <c r="F37" s="18"/>
      <c r="G37" s="18">
        <v>49.5</v>
      </c>
      <c r="H37" s="18">
        <v>60.9</v>
      </c>
      <c r="I37" s="18">
        <v>49.5</v>
      </c>
      <c r="J37" s="18">
        <v>55.0</v>
      </c>
      <c r="K37" s="18">
        <v>54.7</v>
      </c>
      <c r="L37" s="18">
        <v>66.0</v>
      </c>
      <c r="M37" s="31">
        <f t="shared" si="1"/>
        <v>39.1</v>
      </c>
      <c r="N37" s="30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17">
        <v>36923.0</v>
      </c>
      <c r="B38" s="18"/>
      <c r="C38" s="18">
        <v>57.5</v>
      </c>
      <c r="D38" s="18">
        <v>54.9</v>
      </c>
      <c r="E38" s="18">
        <v>52.4</v>
      </c>
      <c r="F38" s="18"/>
      <c r="G38" s="18">
        <v>48.5</v>
      </c>
      <c r="H38" s="18">
        <v>63.5</v>
      </c>
      <c r="I38" s="18">
        <v>50.5</v>
      </c>
      <c r="J38" s="18">
        <v>56.5</v>
      </c>
      <c r="K38" s="18">
        <v>53.4</v>
      </c>
      <c r="L38" s="18">
        <v>65.0</v>
      </c>
      <c r="M38" s="31">
        <f t="shared" si="1"/>
        <v>39.46666667</v>
      </c>
      <c r="N38" s="30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17">
        <v>36951.0</v>
      </c>
      <c r="B39" s="18"/>
      <c r="C39" s="18">
        <v>52.5</v>
      </c>
      <c r="D39" s="18">
        <v>50.8</v>
      </c>
      <c r="E39" s="18">
        <v>51.7</v>
      </c>
      <c r="F39" s="18"/>
      <c r="G39" s="18">
        <v>45.5</v>
      </c>
      <c r="H39" s="18">
        <v>61.8</v>
      </c>
      <c r="I39" s="18">
        <v>42.5</v>
      </c>
      <c r="J39" s="18">
        <v>55.0</v>
      </c>
      <c r="K39" s="18">
        <v>49.8</v>
      </c>
      <c r="L39" s="18">
        <v>67.5</v>
      </c>
      <c r="M39" s="31">
        <f t="shared" si="1"/>
        <v>37.53333333</v>
      </c>
      <c r="N39" s="30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17">
        <v>36982.0</v>
      </c>
      <c r="B40" s="18"/>
      <c r="C40" s="18">
        <v>51.5</v>
      </c>
      <c r="D40" s="18">
        <v>51.4</v>
      </c>
      <c r="E40" s="18">
        <v>50.7</v>
      </c>
      <c r="F40" s="18"/>
      <c r="G40" s="18">
        <v>47.0</v>
      </c>
      <c r="H40" s="18">
        <v>58.1</v>
      </c>
      <c r="I40" s="18">
        <v>45.5</v>
      </c>
      <c r="J40" s="18">
        <v>53.5</v>
      </c>
      <c r="K40" s="18">
        <v>48.7</v>
      </c>
      <c r="L40" s="18">
        <v>65.0</v>
      </c>
      <c r="M40" s="31">
        <f t="shared" si="1"/>
        <v>36.5</v>
      </c>
      <c r="N40" s="30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17">
        <v>37012.0</v>
      </c>
      <c r="B41" s="18"/>
      <c r="C41" s="18">
        <v>50.0</v>
      </c>
      <c r="D41" s="18">
        <v>52.6</v>
      </c>
      <c r="E41" s="18">
        <v>49.6</v>
      </c>
      <c r="F41" s="18"/>
      <c r="G41" s="18">
        <v>49.0</v>
      </c>
      <c r="H41" s="18">
        <v>55.8</v>
      </c>
      <c r="I41" s="18">
        <v>47.5</v>
      </c>
      <c r="J41" s="18">
        <v>49.5</v>
      </c>
      <c r="K41" s="18">
        <v>48.4</v>
      </c>
      <c r="L41" s="18">
        <v>69.0</v>
      </c>
      <c r="M41" s="31">
        <f t="shared" si="1"/>
        <v>36.13333333</v>
      </c>
      <c r="N41" s="30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17">
        <v>37043.0</v>
      </c>
      <c r="B42" s="18"/>
      <c r="C42" s="18">
        <v>48.3</v>
      </c>
      <c r="D42" s="18">
        <v>47.2</v>
      </c>
      <c r="E42" s="18">
        <v>46.5</v>
      </c>
      <c r="F42" s="18"/>
      <c r="G42" s="18">
        <v>45.5</v>
      </c>
      <c r="H42" s="18">
        <v>53.8</v>
      </c>
      <c r="I42" s="18">
        <v>44.0</v>
      </c>
      <c r="J42" s="18">
        <v>55.5</v>
      </c>
      <c r="K42" s="18">
        <v>49.8</v>
      </c>
      <c r="L42" s="18">
        <v>64.0</v>
      </c>
      <c r="M42" s="31">
        <f t="shared" si="1"/>
        <v>33.66666667</v>
      </c>
      <c r="N42" s="30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17">
        <v>37073.0</v>
      </c>
      <c r="B43" s="18"/>
      <c r="C43" s="18">
        <v>47.9</v>
      </c>
      <c r="D43" s="18">
        <v>49.3</v>
      </c>
      <c r="E43" s="18">
        <v>46.7</v>
      </c>
      <c r="F43" s="18"/>
      <c r="G43" s="18">
        <v>47.5</v>
      </c>
      <c r="H43" s="18">
        <v>58.5</v>
      </c>
      <c r="I43" s="18">
        <v>46.5</v>
      </c>
      <c r="J43" s="18">
        <v>48.5</v>
      </c>
      <c r="K43" s="18">
        <v>48.7</v>
      </c>
      <c r="L43" s="18">
        <v>63.5</v>
      </c>
      <c r="M43" s="31">
        <f t="shared" si="1"/>
        <v>35.93333333</v>
      </c>
      <c r="N43" s="30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17">
        <v>37104.0</v>
      </c>
      <c r="B44" s="18"/>
      <c r="C44" s="18">
        <v>51.6</v>
      </c>
      <c r="D44" s="18">
        <v>52.2</v>
      </c>
      <c r="E44" s="18">
        <v>45.6</v>
      </c>
      <c r="F44" s="18"/>
      <c r="G44" s="18">
        <v>48.5</v>
      </c>
      <c r="H44" s="18">
        <v>54.5</v>
      </c>
      <c r="I44" s="18">
        <v>49.0</v>
      </c>
      <c r="J44" s="18">
        <v>49.5</v>
      </c>
      <c r="K44" s="18">
        <v>50.0</v>
      </c>
      <c r="L44" s="18">
        <v>65.0</v>
      </c>
      <c r="M44" s="31">
        <f t="shared" si="1"/>
        <v>35.56666667</v>
      </c>
      <c r="N44" s="30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17">
        <v>37135.0</v>
      </c>
      <c r="B45" s="18"/>
      <c r="C45" s="18">
        <v>48.1</v>
      </c>
      <c r="D45" s="18">
        <v>47.5</v>
      </c>
      <c r="E45" s="18">
        <v>46.4</v>
      </c>
      <c r="F45" s="18"/>
      <c r="G45" s="18">
        <v>46.0</v>
      </c>
      <c r="H45" s="18">
        <v>49.9</v>
      </c>
      <c r="I45" s="18">
        <v>42.5</v>
      </c>
      <c r="J45" s="18">
        <v>53.0</v>
      </c>
      <c r="K45" s="18">
        <v>50.1</v>
      </c>
      <c r="L45" s="18">
        <v>61.5</v>
      </c>
      <c r="M45" s="31">
        <f t="shared" si="1"/>
        <v>32.46666667</v>
      </c>
      <c r="N45" s="30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17">
        <v>37165.0</v>
      </c>
      <c r="B46" s="18"/>
      <c r="C46" s="18">
        <v>47.4</v>
      </c>
      <c r="D46" s="18">
        <v>46.5</v>
      </c>
      <c r="E46" s="18">
        <v>45.7</v>
      </c>
      <c r="F46" s="18"/>
      <c r="G46" s="18">
        <v>43.5</v>
      </c>
      <c r="H46" s="18">
        <v>48.9</v>
      </c>
      <c r="I46" s="18">
        <v>41.5</v>
      </c>
      <c r="J46" s="18">
        <v>47.5</v>
      </c>
      <c r="K46" s="18">
        <v>52.8</v>
      </c>
      <c r="L46" s="18">
        <v>65.5</v>
      </c>
      <c r="M46" s="31">
        <f t="shared" si="1"/>
        <v>31.8</v>
      </c>
      <c r="N46" s="30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17">
        <v>37196.0</v>
      </c>
      <c r="B47" s="18"/>
      <c r="C47" s="18">
        <v>49.7</v>
      </c>
      <c r="D47" s="18">
        <v>50.8</v>
      </c>
      <c r="E47" s="18">
        <v>46.4</v>
      </c>
      <c r="F47" s="18"/>
      <c r="G47" s="18">
        <v>44.5</v>
      </c>
      <c r="H47" s="18">
        <v>50.2</v>
      </c>
      <c r="I47" s="18">
        <v>48.5</v>
      </c>
      <c r="J47" s="18">
        <v>53.5</v>
      </c>
      <c r="K47" s="18">
        <v>52.7</v>
      </c>
      <c r="L47" s="18">
        <v>64.0</v>
      </c>
      <c r="M47" s="31">
        <f t="shared" si="1"/>
        <v>33.66666667</v>
      </c>
      <c r="N47" s="30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17">
        <v>37226.0</v>
      </c>
      <c r="B48" s="18"/>
      <c r="C48" s="18">
        <v>40.5</v>
      </c>
      <c r="D48" s="18">
        <v>41.3</v>
      </c>
      <c r="E48" s="18">
        <v>43.9</v>
      </c>
      <c r="F48" s="18"/>
      <c r="G48" s="18">
        <v>48.0</v>
      </c>
      <c r="H48" s="18">
        <v>43.4</v>
      </c>
      <c r="I48" s="18">
        <v>40.5</v>
      </c>
      <c r="J48" s="18">
        <v>44.5</v>
      </c>
      <c r="K48" s="18">
        <v>50.7</v>
      </c>
      <c r="L48" s="18">
        <v>68.5</v>
      </c>
      <c r="M48" s="31">
        <f t="shared" si="1"/>
        <v>28.23333333</v>
      </c>
      <c r="N48" s="30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17">
        <v>37257.0</v>
      </c>
      <c r="B49" s="18"/>
      <c r="C49" s="18">
        <v>49.4</v>
      </c>
      <c r="D49" s="18">
        <v>46.4</v>
      </c>
      <c r="E49" s="18">
        <v>44.5</v>
      </c>
      <c r="F49" s="18"/>
      <c r="G49" s="18">
        <v>49.5</v>
      </c>
      <c r="H49" s="18">
        <v>41.3</v>
      </c>
      <c r="I49" s="18">
        <v>42.0</v>
      </c>
      <c r="J49" s="18">
        <v>48.5</v>
      </c>
      <c r="K49" s="18">
        <v>51.6</v>
      </c>
      <c r="L49" s="18">
        <v>67.0</v>
      </c>
      <c r="M49" s="31">
        <f t="shared" si="1"/>
        <v>29.23333333</v>
      </c>
      <c r="N49" s="30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17">
        <v>37288.0</v>
      </c>
      <c r="B50" s="18"/>
      <c r="C50" s="18">
        <v>50.7</v>
      </c>
      <c r="D50" s="18">
        <v>49.9</v>
      </c>
      <c r="E50" s="18">
        <v>44.6</v>
      </c>
      <c r="F50" s="18"/>
      <c r="G50" s="18">
        <v>48.5</v>
      </c>
      <c r="H50" s="18">
        <v>42.3</v>
      </c>
      <c r="I50" s="18">
        <v>46.5</v>
      </c>
      <c r="J50" s="18">
        <v>55.0</v>
      </c>
      <c r="K50" s="18">
        <v>55.9</v>
      </c>
      <c r="L50" s="18">
        <v>66.5</v>
      </c>
      <c r="M50" s="31">
        <f t="shared" si="1"/>
        <v>30.73333333</v>
      </c>
      <c r="N50" s="30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17">
        <v>37316.0</v>
      </c>
      <c r="B51" s="18">
        <v>51.1</v>
      </c>
      <c r="C51" s="18">
        <v>49.8</v>
      </c>
      <c r="D51" s="18">
        <v>48.3</v>
      </c>
      <c r="E51" s="18">
        <v>44.3</v>
      </c>
      <c r="F51" s="18">
        <v>53.0</v>
      </c>
      <c r="G51" s="18">
        <v>47.5</v>
      </c>
      <c r="H51" s="18">
        <v>48.8</v>
      </c>
      <c r="I51" s="18">
        <v>45.5</v>
      </c>
      <c r="J51" s="18">
        <v>56.5</v>
      </c>
      <c r="K51" s="18">
        <v>55.3</v>
      </c>
      <c r="L51" s="18">
        <v>64.5</v>
      </c>
      <c r="M51" s="31">
        <f t="shared" si="1"/>
        <v>50.03333333</v>
      </c>
      <c r="N51" s="30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17">
        <v>37347.0</v>
      </c>
      <c r="B52" s="18">
        <v>52.7</v>
      </c>
      <c r="C52" s="18">
        <v>57.5</v>
      </c>
      <c r="D52" s="18">
        <v>56.3</v>
      </c>
      <c r="E52" s="18">
        <v>43.9</v>
      </c>
      <c r="F52" s="18">
        <v>53.0</v>
      </c>
      <c r="G52" s="18">
        <v>51.5</v>
      </c>
      <c r="H52" s="18">
        <v>47.6</v>
      </c>
      <c r="I52" s="18">
        <v>47.5</v>
      </c>
      <c r="J52" s="18">
        <v>52.5</v>
      </c>
      <c r="K52" s="18">
        <v>54.3</v>
      </c>
      <c r="L52" s="18">
        <v>66.5</v>
      </c>
      <c r="M52" s="31">
        <f t="shared" si="1"/>
        <v>52.3</v>
      </c>
      <c r="N52" s="30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17">
        <v>37377.0</v>
      </c>
      <c r="B53" s="18">
        <v>52.8</v>
      </c>
      <c r="C53" s="18">
        <v>57.1</v>
      </c>
      <c r="D53" s="18">
        <v>56.4</v>
      </c>
      <c r="E53" s="18">
        <v>45.8</v>
      </c>
      <c r="F53" s="18">
        <v>52.0</v>
      </c>
      <c r="G53" s="18">
        <v>50.0</v>
      </c>
      <c r="H53" s="18">
        <v>49.2</v>
      </c>
      <c r="I53" s="18">
        <v>49.5</v>
      </c>
      <c r="J53" s="18">
        <v>49.5</v>
      </c>
      <c r="K53" s="18">
        <v>48.9</v>
      </c>
      <c r="L53" s="18">
        <v>65.5</v>
      </c>
      <c r="M53" s="31">
        <f t="shared" si="1"/>
        <v>52.53333333</v>
      </c>
      <c r="N53" s="30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17">
        <v>37408.0</v>
      </c>
      <c r="B54" s="18">
        <v>53.5</v>
      </c>
      <c r="C54" s="18">
        <v>56.3</v>
      </c>
      <c r="D54" s="18">
        <v>58.4</v>
      </c>
      <c r="E54" s="18">
        <v>47.8</v>
      </c>
      <c r="F54" s="18">
        <v>51.5</v>
      </c>
      <c r="G54" s="18">
        <v>52.5</v>
      </c>
      <c r="H54" s="18">
        <v>53.7</v>
      </c>
      <c r="I54" s="18">
        <v>48.5</v>
      </c>
      <c r="J54" s="18">
        <v>52.5</v>
      </c>
      <c r="K54" s="18">
        <v>56.2</v>
      </c>
      <c r="L54" s="18">
        <v>63.0</v>
      </c>
      <c r="M54" s="31">
        <f t="shared" si="1"/>
        <v>54.53333333</v>
      </c>
      <c r="N54" s="30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17">
        <v>37438.0</v>
      </c>
      <c r="B55" s="18">
        <v>54.8</v>
      </c>
      <c r="C55" s="18">
        <v>60.5</v>
      </c>
      <c r="D55" s="18">
        <v>57.3</v>
      </c>
      <c r="E55" s="18">
        <v>49.2</v>
      </c>
      <c r="F55" s="18">
        <v>52.0</v>
      </c>
      <c r="G55" s="18">
        <v>48.5</v>
      </c>
      <c r="H55" s="18">
        <v>55.2</v>
      </c>
      <c r="I55" s="18">
        <v>53.5</v>
      </c>
      <c r="J55" s="18">
        <v>61.5</v>
      </c>
      <c r="K55" s="18">
        <v>54.0</v>
      </c>
      <c r="L55" s="18">
        <v>65.0</v>
      </c>
      <c r="M55" s="31">
        <f t="shared" si="1"/>
        <v>54.83333333</v>
      </c>
      <c r="N55" s="30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17">
        <v>37469.0</v>
      </c>
      <c r="B56" s="18">
        <v>52.5</v>
      </c>
      <c r="C56" s="18">
        <v>56.1</v>
      </c>
      <c r="D56" s="18">
        <v>56.4</v>
      </c>
      <c r="E56" s="18">
        <v>44.0</v>
      </c>
      <c r="F56" s="18">
        <v>53.5</v>
      </c>
      <c r="G56" s="18">
        <v>47.5</v>
      </c>
      <c r="H56" s="18">
        <v>53.1</v>
      </c>
      <c r="I56" s="18">
        <v>49.0</v>
      </c>
      <c r="J56" s="18">
        <v>57.5</v>
      </c>
      <c r="K56" s="18">
        <v>55.2</v>
      </c>
      <c r="L56" s="18">
        <v>66.0</v>
      </c>
      <c r="M56" s="31">
        <f t="shared" si="1"/>
        <v>54.33333333</v>
      </c>
      <c r="N56" s="30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17">
        <v>37500.0</v>
      </c>
      <c r="B57" s="18">
        <v>50.4</v>
      </c>
      <c r="C57" s="18">
        <v>52.1</v>
      </c>
      <c r="D57" s="18">
        <v>50.7</v>
      </c>
      <c r="E57" s="18">
        <v>46.1</v>
      </c>
      <c r="F57" s="18">
        <v>52.5</v>
      </c>
      <c r="G57" s="18">
        <v>52.0</v>
      </c>
      <c r="H57" s="18">
        <v>60.5</v>
      </c>
      <c r="I57" s="18">
        <v>43.5</v>
      </c>
      <c r="J57" s="18">
        <v>59.5</v>
      </c>
      <c r="K57" s="18">
        <v>52.6</v>
      </c>
      <c r="L57" s="18">
        <v>66.0</v>
      </c>
      <c r="M57" s="31">
        <f t="shared" si="1"/>
        <v>54.56666667</v>
      </c>
      <c r="N57" s="30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17">
        <v>37530.0</v>
      </c>
      <c r="B58" s="18">
        <v>50.9</v>
      </c>
      <c r="C58" s="18">
        <v>51.9</v>
      </c>
      <c r="D58" s="18">
        <v>51.6</v>
      </c>
      <c r="E58" s="18">
        <v>47.2</v>
      </c>
      <c r="F58" s="18">
        <v>53.0</v>
      </c>
      <c r="G58" s="18">
        <v>46.0</v>
      </c>
      <c r="H58" s="18">
        <v>55.1</v>
      </c>
      <c r="I58" s="18">
        <v>48.0</v>
      </c>
      <c r="J58" s="18">
        <v>46.0</v>
      </c>
      <c r="K58" s="18">
        <v>48.3</v>
      </c>
      <c r="L58" s="18">
        <v>62.0</v>
      </c>
      <c r="M58" s="31">
        <f t="shared" si="1"/>
        <v>53.23333333</v>
      </c>
      <c r="N58" s="30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17">
        <v>37561.0</v>
      </c>
      <c r="B59" s="18">
        <v>52.3</v>
      </c>
      <c r="C59" s="18">
        <v>54.9</v>
      </c>
      <c r="D59" s="18">
        <v>54.8</v>
      </c>
      <c r="E59" s="18">
        <v>47.1</v>
      </c>
      <c r="F59" s="18">
        <v>52.5</v>
      </c>
      <c r="G59" s="18">
        <v>44.5</v>
      </c>
      <c r="H59" s="18">
        <v>53.4</v>
      </c>
      <c r="I59" s="18">
        <v>51.0</v>
      </c>
      <c r="J59" s="18">
        <v>57.5</v>
      </c>
      <c r="K59" s="18">
        <v>44.7</v>
      </c>
      <c r="L59" s="18">
        <v>66.0</v>
      </c>
      <c r="M59" s="31">
        <f t="shared" si="1"/>
        <v>53.56666667</v>
      </c>
      <c r="N59" s="30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17">
        <v>37591.0</v>
      </c>
      <c r="B60" s="18">
        <v>51.4</v>
      </c>
      <c r="C60" s="18">
        <v>53.1</v>
      </c>
      <c r="D60" s="18">
        <v>52.3</v>
      </c>
      <c r="E60" s="18">
        <v>46.6</v>
      </c>
      <c r="F60" s="18">
        <v>53.5</v>
      </c>
      <c r="G60" s="18">
        <v>44.0</v>
      </c>
      <c r="H60" s="18">
        <v>56.1</v>
      </c>
      <c r="I60" s="18">
        <v>52.0</v>
      </c>
      <c r="J60" s="18">
        <v>49.0</v>
      </c>
      <c r="K60" s="18">
        <v>54.9</v>
      </c>
      <c r="L60" s="18">
        <v>64.5</v>
      </c>
      <c r="M60" s="31">
        <f t="shared" si="1"/>
        <v>53.96666667</v>
      </c>
      <c r="N60" s="30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17">
        <v>37622.0</v>
      </c>
      <c r="B61" s="18">
        <v>52.9</v>
      </c>
      <c r="C61" s="18">
        <v>56.8</v>
      </c>
      <c r="D61" s="18">
        <v>56.4</v>
      </c>
      <c r="E61" s="18">
        <v>46.0</v>
      </c>
      <c r="F61" s="18">
        <v>52.5</v>
      </c>
      <c r="G61" s="18">
        <v>44.0</v>
      </c>
      <c r="H61" s="18">
        <v>57.6</v>
      </c>
      <c r="I61" s="18">
        <v>50.5</v>
      </c>
      <c r="J61" s="18">
        <v>58.5</v>
      </c>
      <c r="K61" s="18">
        <v>55.1</v>
      </c>
      <c r="L61" s="18">
        <v>61.0</v>
      </c>
      <c r="M61" s="31">
        <f t="shared" si="1"/>
        <v>55.5</v>
      </c>
      <c r="N61" s="30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17">
        <v>37653.0</v>
      </c>
      <c r="B62" s="18">
        <v>52.3</v>
      </c>
      <c r="C62" s="18">
        <v>55.5</v>
      </c>
      <c r="D62" s="18">
        <v>54.2</v>
      </c>
      <c r="E62" s="18">
        <v>47.0</v>
      </c>
      <c r="F62" s="18">
        <v>52.5</v>
      </c>
      <c r="G62" s="18">
        <v>45.5</v>
      </c>
      <c r="H62" s="18">
        <v>56.5</v>
      </c>
      <c r="I62" s="18">
        <v>51.5</v>
      </c>
      <c r="J62" s="18">
        <v>54.0</v>
      </c>
      <c r="K62" s="18">
        <v>51.8</v>
      </c>
      <c r="L62" s="18">
        <v>63.0</v>
      </c>
      <c r="M62" s="31">
        <f t="shared" si="1"/>
        <v>54.4</v>
      </c>
      <c r="N62" s="30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17">
        <v>37681.0</v>
      </c>
      <c r="B63" s="18">
        <v>53.3</v>
      </c>
      <c r="C63" s="18">
        <v>56.2</v>
      </c>
      <c r="D63" s="18">
        <v>54.4</v>
      </c>
      <c r="E63" s="18">
        <v>50.5</v>
      </c>
      <c r="F63" s="18">
        <v>52.0</v>
      </c>
      <c r="G63" s="18">
        <v>46.5</v>
      </c>
      <c r="H63" s="18">
        <v>58.0</v>
      </c>
      <c r="I63" s="18">
        <v>48.0</v>
      </c>
      <c r="J63" s="18">
        <v>53.0</v>
      </c>
      <c r="K63" s="18">
        <v>56.5</v>
      </c>
      <c r="L63" s="18">
        <v>64.5</v>
      </c>
      <c r="M63" s="31">
        <f t="shared" si="1"/>
        <v>54.8</v>
      </c>
      <c r="N63" s="30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17">
        <v>37712.0</v>
      </c>
      <c r="B64" s="18">
        <v>52.6</v>
      </c>
      <c r="C64" s="18">
        <v>55.6</v>
      </c>
      <c r="D64" s="18">
        <v>53.9</v>
      </c>
      <c r="E64" s="18">
        <v>48.5</v>
      </c>
      <c r="F64" s="18">
        <v>52.5</v>
      </c>
      <c r="G64" s="18">
        <v>48.5</v>
      </c>
      <c r="H64" s="18">
        <v>60.5</v>
      </c>
      <c r="I64" s="18">
        <v>50.0</v>
      </c>
      <c r="J64" s="18">
        <v>58.5</v>
      </c>
      <c r="K64" s="18">
        <v>51.5</v>
      </c>
      <c r="L64" s="18">
        <v>66.5</v>
      </c>
      <c r="M64" s="31">
        <f t="shared" si="1"/>
        <v>55.63333333</v>
      </c>
      <c r="N64" s="30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17">
        <v>37742.0</v>
      </c>
      <c r="B65" s="18">
        <v>49.1</v>
      </c>
      <c r="C65" s="18">
        <v>46.3</v>
      </c>
      <c r="D65" s="18">
        <v>49.9</v>
      </c>
      <c r="E65" s="18">
        <v>48.1</v>
      </c>
      <c r="F65" s="18">
        <v>52.0</v>
      </c>
      <c r="G65" s="18">
        <v>49.5</v>
      </c>
      <c r="H65" s="18">
        <v>59.4</v>
      </c>
      <c r="I65" s="18">
        <v>47.5</v>
      </c>
      <c r="J65" s="18">
        <v>48.5</v>
      </c>
      <c r="K65" s="18">
        <v>55.0</v>
      </c>
      <c r="L65" s="18">
        <v>66.0</v>
      </c>
      <c r="M65" s="31">
        <f t="shared" si="1"/>
        <v>53.76666667</v>
      </c>
      <c r="N65" s="30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17">
        <v>37773.0</v>
      </c>
      <c r="B66" s="18">
        <v>50.1</v>
      </c>
      <c r="C66" s="18">
        <v>50.7</v>
      </c>
      <c r="D66" s="18">
        <v>50.4</v>
      </c>
      <c r="E66" s="18">
        <v>48.7</v>
      </c>
      <c r="F66" s="18">
        <v>50.5</v>
      </c>
      <c r="G66" s="18">
        <v>51.0</v>
      </c>
      <c r="H66" s="18">
        <v>55.7</v>
      </c>
      <c r="I66" s="18">
        <v>46.0</v>
      </c>
      <c r="J66" s="18">
        <v>52.5</v>
      </c>
      <c r="K66" s="18">
        <v>50.0</v>
      </c>
      <c r="L66" s="18">
        <v>62.5</v>
      </c>
      <c r="M66" s="31">
        <f t="shared" si="1"/>
        <v>52.2</v>
      </c>
      <c r="N66" s="30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17">
        <v>37803.0</v>
      </c>
      <c r="B67" s="18">
        <v>52.8</v>
      </c>
      <c r="C67" s="18">
        <v>54.6</v>
      </c>
      <c r="D67" s="18">
        <v>55.9</v>
      </c>
      <c r="E67" s="18">
        <v>48.5</v>
      </c>
      <c r="F67" s="18">
        <v>52.0</v>
      </c>
      <c r="G67" s="18">
        <v>52.5</v>
      </c>
      <c r="H67" s="18">
        <v>50.0</v>
      </c>
      <c r="I67" s="18">
        <v>51.0</v>
      </c>
      <c r="J67" s="18">
        <v>49.0</v>
      </c>
      <c r="K67" s="18">
        <v>58.5</v>
      </c>
      <c r="L67" s="18">
        <v>63.0</v>
      </c>
      <c r="M67" s="31">
        <f t="shared" si="1"/>
        <v>52.63333333</v>
      </c>
      <c r="N67" s="30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17">
        <v>37834.0</v>
      </c>
      <c r="B68" s="18">
        <v>54.3</v>
      </c>
      <c r="C68" s="18">
        <v>59.2</v>
      </c>
      <c r="D68" s="18">
        <v>57.1</v>
      </c>
      <c r="E68" s="18">
        <v>49.3</v>
      </c>
      <c r="F68" s="18">
        <v>51.5</v>
      </c>
      <c r="G68" s="18">
        <v>47.0</v>
      </c>
      <c r="H68" s="18">
        <v>52.3</v>
      </c>
      <c r="I68" s="18">
        <v>51.5</v>
      </c>
      <c r="J68" s="18">
        <v>49.5</v>
      </c>
      <c r="K68" s="18">
        <v>50.5</v>
      </c>
      <c r="L68" s="18">
        <v>62.0</v>
      </c>
      <c r="M68" s="31">
        <f t="shared" si="1"/>
        <v>53.63333333</v>
      </c>
      <c r="N68" s="30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17">
        <v>37865.0</v>
      </c>
      <c r="B69" s="18">
        <v>57.3</v>
      </c>
      <c r="C69" s="18">
        <v>62.7</v>
      </c>
      <c r="D69" s="18">
        <v>62.3</v>
      </c>
      <c r="E69" s="18">
        <v>50.5</v>
      </c>
      <c r="F69" s="18">
        <v>53.5</v>
      </c>
      <c r="G69" s="18">
        <v>49.5</v>
      </c>
      <c r="H69" s="18">
        <v>51.4</v>
      </c>
      <c r="I69" s="18">
        <v>54.5</v>
      </c>
      <c r="J69" s="18">
        <v>47.5</v>
      </c>
      <c r="K69" s="18">
        <v>54.0</v>
      </c>
      <c r="L69" s="18">
        <v>60.0</v>
      </c>
      <c r="M69" s="31">
        <f t="shared" si="1"/>
        <v>55.73333333</v>
      </c>
      <c r="N69" s="30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17">
        <v>37895.0</v>
      </c>
      <c r="B70" s="18">
        <v>59.1</v>
      </c>
      <c r="C70" s="18">
        <v>65.1</v>
      </c>
      <c r="D70" s="18">
        <v>66.9</v>
      </c>
      <c r="E70" s="18">
        <v>51.7</v>
      </c>
      <c r="F70" s="18">
        <v>52.5</v>
      </c>
      <c r="G70" s="18">
        <v>49.0</v>
      </c>
      <c r="H70" s="18">
        <v>56.1</v>
      </c>
      <c r="I70" s="18">
        <v>51.5</v>
      </c>
      <c r="J70" s="18">
        <v>58.5</v>
      </c>
      <c r="K70" s="18">
        <v>60.0</v>
      </c>
      <c r="L70" s="18">
        <v>62.0</v>
      </c>
      <c r="M70" s="31">
        <f t="shared" si="1"/>
        <v>58.5</v>
      </c>
      <c r="N70" s="30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17">
        <v>37926.0</v>
      </c>
      <c r="B71" s="18">
        <v>57.6</v>
      </c>
      <c r="C71" s="18">
        <v>63.8</v>
      </c>
      <c r="D71" s="18">
        <v>61.4</v>
      </c>
      <c r="E71" s="18">
        <v>50.1</v>
      </c>
      <c r="F71" s="18">
        <v>55.0</v>
      </c>
      <c r="G71" s="18">
        <v>47.5</v>
      </c>
      <c r="H71" s="18">
        <v>59.5</v>
      </c>
      <c r="I71" s="18">
        <v>57.0</v>
      </c>
      <c r="J71" s="18">
        <v>56.0</v>
      </c>
      <c r="K71" s="18">
        <v>55.0</v>
      </c>
      <c r="L71" s="18">
        <v>60.5</v>
      </c>
      <c r="M71" s="31">
        <f t="shared" si="1"/>
        <v>58.63333333</v>
      </c>
      <c r="N71" s="30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17">
        <v>37956.0</v>
      </c>
      <c r="B72" s="18">
        <v>58.7</v>
      </c>
      <c r="C72" s="18">
        <v>64.4</v>
      </c>
      <c r="D72" s="18">
        <v>64.2</v>
      </c>
      <c r="E72" s="18">
        <v>53.0</v>
      </c>
      <c r="F72" s="18">
        <v>53.0</v>
      </c>
      <c r="G72" s="18">
        <v>49.0</v>
      </c>
      <c r="H72" s="18">
        <v>57.2</v>
      </c>
      <c r="I72" s="18">
        <v>54.0</v>
      </c>
      <c r="J72" s="18">
        <v>58.0</v>
      </c>
      <c r="K72" s="18">
        <v>56.0</v>
      </c>
      <c r="L72" s="18">
        <v>60.0</v>
      </c>
      <c r="M72" s="31">
        <f t="shared" si="1"/>
        <v>58.13333333</v>
      </c>
      <c r="N72" s="30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17">
        <v>37987.0</v>
      </c>
      <c r="B73" s="18">
        <v>57.5</v>
      </c>
      <c r="C73" s="18">
        <v>61.1</v>
      </c>
      <c r="D73" s="18">
        <v>61.3</v>
      </c>
      <c r="E73" s="18">
        <v>54.4</v>
      </c>
      <c r="F73" s="18">
        <v>53.0</v>
      </c>
      <c r="G73" s="18">
        <v>51.0</v>
      </c>
      <c r="H73" s="18">
        <v>58.5</v>
      </c>
      <c r="I73" s="18">
        <v>52.5</v>
      </c>
      <c r="J73" s="18">
        <v>54.5</v>
      </c>
      <c r="K73" s="18">
        <v>57.5</v>
      </c>
      <c r="L73" s="18">
        <v>62.0</v>
      </c>
      <c r="M73" s="31">
        <f t="shared" si="1"/>
        <v>57.6</v>
      </c>
      <c r="N73" s="30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17">
        <v>38018.0</v>
      </c>
      <c r="B74" s="18">
        <v>56.8</v>
      </c>
      <c r="C74" s="18">
        <v>60.0</v>
      </c>
      <c r="D74" s="18">
        <v>61.2</v>
      </c>
      <c r="E74" s="18">
        <v>54.0</v>
      </c>
      <c r="F74" s="18">
        <v>52.0</v>
      </c>
      <c r="G74" s="18">
        <v>51.5</v>
      </c>
      <c r="H74" s="18">
        <v>61.1</v>
      </c>
      <c r="I74" s="18">
        <v>55.5</v>
      </c>
      <c r="J74" s="18">
        <v>57.5</v>
      </c>
      <c r="K74" s="18">
        <v>57.0</v>
      </c>
      <c r="L74" s="18">
        <v>62.0</v>
      </c>
      <c r="M74" s="31">
        <f t="shared" si="1"/>
        <v>58.1</v>
      </c>
      <c r="N74" s="30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17">
        <v>38047.0</v>
      </c>
      <c r="B75" s="18">
        <v>61.2</v>
      </c>
      <c r="C75" s="18">
        <v>67.7</v>
      </c>
      <c r="D75" s="18">
        <v>65.4</v>
      </c>
      <c r="E75" s="18">
        <v>55.1</v>
      </c>
      <c r="F75" s="18">
        <v>56.5</v>
      </c>
      <c r="G75" s="18">
        <v>49.5</v>
      </c>
      <c r="H75" s="18">
        <v>62.2</v>
      </c>
      <c r="I75" s="18">
        <v>53.5</v>
      </c>
      <c r="J75" s="18">
        <v>51.0</v>
      </c>
      <c r="K75" s="18">
        <v>54.5</v>
      </c>
      <c r="L75" s="18">
        <v>59.0</v>
      </c>
      <c r="M75" s="31">
        <f t="shared" si="1"/>
        <v>61.36666667</v>
      </c>
      <c r="N75" s="30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17">
        <v>38078.0</v>
      </c>
      <c r="B76" s="18">
        <v>58.0</v>
      </c>
      <c r="C76" s="18">
        <v>62.5</v>
      </c>
      <c r="D76" s="18">
        <v>61.2</v>
      </c>
      <c r="E76" s="18">
        <v>52.9</v>
      </c>
      <c r="F76" s="18">
        <v>55.5</v>
      </c>
      <c r="G76" s="18">
        <v>49.0</v>
      </c>
      <c r="H76" s="18">
        <v>59.5</v>
      </c>
      <c r="I76" s="18">
        <v>53.0</v>
      </c>
      <c r="J76" s="18">
        <v>55.5</v>
      </c>
      <c r="K76" s="18">
        <v>58.5</v>
      </c>
      <c r="L76" s="18">
        <v>58.0</v>
      </c>
      <c r="M76" s="31">
        <f t="shared" si="1"/>
        <v>58.73333333</v>
      </c>
      <c r="N76" s="30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17">
        <v>38108.0</v>
      </c>
      <c r="B77" s="18">
        <v>58.3</v>
      </c>
      <c r="C77" s="18">
        <v>62.3</v>
      </c>
      <c r="D77" s="18">
        <v>62.1</v>
      </c>
      <c r="E77" s="18">
        <v>53.8</v>
      </c>
      <c r="F77" s="18">
        <v>55.0</v>
      </c>
      <c r="G77" s="18">
        <v>51.5</v>
      </c>
      <c r="H77" s="18">
        <v>65.0</v>
      </c>
      <c r="I77" s="18">
        <v>52.5</v>
      </c>
      <c r="J77" s="18">
        <v>51.5</v>
      </c>
      <c r="K77" s="18">
        <v>60.5</v>
      </c>
      <c r="L77" s="18">
        <v>60.5</v>
      </c>
      <c r="M77" s="31">
        <f t="shared" si="1"/>
        <v>60.7</v>
      </c>
      <c r="N77" s="30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17">
        <v>38139.0</v>
      </c>
      <c r="B78" s="18">
        <v>59.6</v>
      </c>
      <c r="C78" s="18">
        <v>64.0</v>
      </c>
      <c r="D78" s="18">
        <v>61.6</v>
      </c>
      <c r="E78" s="18">
        <v>54.7</v>
      </c>
      <c r="F78" s="18">
        <v>58.0</v>
      </c>
      <c r="G78" s="18">
        <v>56.5</v>
      </c>
      <c r="H78" s="18">
        <v>68.6</v>
      </c>
      <c r="I78" s="18">
        <v>53.5</v>
      </c>
      <c r="J78" s="18">
        <v>62.0</v>
      </c>
      <c r="K78" s="18">
        <v>60.5</v>
      </c>
      <c r="L78" s="18">
        <v>58.0</v>
      </c>
      <c r="M78" s="31">
        <f t="shared" si="1"/>
        <v>62.73333333</v>
      </c>
      <c r="N78" s="30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17">
        <v>38169.0</v>
      </c>
      <c r="B79" s="18">
        <v>58.5</v>
      </c>
      <c r="C79" s="18">
        <v>62.6</v>
      </c>
      <c r="D79" s="18">
        <v>60.7</v>
      </c>
      <c r="E79" s="18">
        <v>54.6</v>
      </c>
      <c r="F79" s="18">
        <v>56.0</v>
      </c>
      <c r="G79" s="18">
        <v>54.0</v>
      </c>
      <c r="H79" s="18">
        <v>71.0</v>
      </c>
      <c r="I79" s="18">
        <v>56.5</v>
      </c>
      <c r="J79" s="18">
        <v>52.0</v>
      </c>
      <c r="K79" s="18">
        <v>59.5</v>
      </c>
      <c r="L79" s="18">
        <v>60.0</v>
      </c>
      <c r="M79" s="31">
        <f t="shared" si="1"/>
        <v>62.56666667</v>
      </c>
      <c r="N79" s="30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17">
        <v>38200.0</v>
      </c>
      <c r="B80" s="18">
        <v>58.6</v>
      </c>
      <c r="C80" s="18">
        <v>59.2</v>
      </c>
      <c r="D80" s="18">
        <v>62.1</v>
      </c>
      <c r="E80" s="18">
        <v>55.6</v>
      </c>
      <c r="F80" s="18">
        <v>57.5</v>
      </c>
      <c r="G80" s="18">
        <v>57.5</v>
      </c>
      <c r="H80" s="18">
        <v>74.2</v>
      </c>
      <c r="I80" s="18">
        <v>55.5</v>
      </c>
      <c r="J80" s="18">
        <v>59.5</v>
      </c>
      <c r="K80" s="18">
        <v>56.5</v>
      </c>
      <c r="L80" s="18">
        <v>60.5</v>
      </c>
      <c r="M80" s="31">
        <f t="shared" si="1"/>
        <v>64.6</v>
      </c>
      <c r="N80" s="30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17">
        <v>38231.0</v>
      </c>
      <c r="B81" s="18">
        <v>58.5</v>
      </c>
      <c r="C81" s="18">
        <v>63.2</v>
      </c>
      <c r="D81" s="18">
        <v>63.2</v>
      </c>
      <c r="E81" s="18">
        <v>49.7</v>
      </c>
      <c r="F81" s="18">
        <v>58.0</v>
      </c>
      <c r="G81" s="18">
        <v>54.0</v>
      </c>
      <c r="H81" s="18">
        <v>71.9</v>
      </c>
      <c r="I81" s="18">
        <v>55.0</v>
      </c>
      <c r="J81" s="18">
        <v>55.5</v>
      </c>
      <c r="K81" s="18">
        <v>60.5</v>
      </c>
      <c r="L81" s="18">
        <v>64.0</v>
      </c>
      <c r="M81" s="31">
        <f t="shared" si="1"/>
        <v>64.36666667</v>
      </c>
      <c r="N81" s="30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17">
        <v>38261.0</v>
      </c>
      <c r="B82" s="18">
        <v>57.3</v>
      </c>
      <c r="C82" s="18">
        <v>59.7</v>
      </c>
      <c r="D82" s="18">
        <v>59.0</v>
      </c>
      <c r="E82" s="18">
        <v>53.5</v>
      </c>
      <c r="F82" s="18">
        <v>57.0</v>
      </c>
      <c r="G82" s="18">
        <v>53.0</v>
      </c>
      <c r="H82" s="18">
        <v>70.9</v>
      </c>
      <c r="I82" s="18">
        <v>53.0</v>
      </c>
      <c r="J82" s="18">
        <v>55.0</v>
      </c>
      <c r="K82" s="18">
        <v>63.5</v>
      </c>
      <c r="L82" s="18">
        <v>62.5</v>
      </c>
      <c r="M82" s="31">
        <f t="shared" si="1"/>
        <v>62.3</v>
      </c>
      <c r="N82" s="30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17">
        <v>38292.0</v>
      </c>
      <c r="B83" s="18">
        <v>57.9</v>
      </c>
      <c r="C83" s="18">
        <v>60.0</v>
      </c>
      <c r="D83" s="18">
        <v>60.6</v>
      </c>
      <c r="E83" s="18">
        <v>55.3</v>
      </c>
      <c r="F83" s="18">
        <v>55.5</v>
      </c>
      <c r="G83" s="18">
        <v>51.5</v>
      </c>
      <c r="H83" s="18">
        <v>67.0</v>
      </c>
      <c r="I83" s="18">
        <v>52.5</v>
      </c>
      <c r="J83" s="18">
        <v>55.5</v>
      </c>
      <c r="K83" s="18">
        <v>56.0</v>
      </c>
      <c r="L83" s="18">
        <v>61.5</v>
      </c>
      <c r="M83" s="31">
        <f t="shared" si="1"/>
        <v>61.03333333</v>
      </c>
      <c r="N83" s="30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17">
        <v>38322.0</v>
      </c>
      <c r="B84" s="18">
        <v>58.8</v>
      </c>
      <c r="C84" s="18">
        <v>61.0</v>
      </c>
      <c r="D84" s="18">
        <v>61.7</v>
      </c>
      <c r="E84" s="18">
        <v>56.5</v>
      </c>
      <c r="F84" s="18">
        <v>56.0</v>
      </c>
      <c r="G84" s="18">
        <v>50.0</v>
      </c>
      <c r="H84" s="18">
        <v>72.8</v>
      </c>
      <c r="I84" s="18">
        <v>52.5</v>
      </c>
      <c r="J84" s="18">
        <v>55.0</v>
      </c>
      <c r="K84" s="18">
        <v>57.5</v>
      </c>
      <c r="L84" s="18">
        <v>60.5</v>
      </c>
      <c r="M84" s="31">
        <f t="shared" si="1"/>
        <v>63.5</v>
      </c>
      <c r="N84" s="30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17">
        <v>38353.0</v>
      </c>
      <c r="B85" s="18">
        <v>58.4</v>
      </c>
      <c r="C85" s="18">
        <v>62.8</v>
      </c>
      <c r="D85" s="18">
        <v>61.1</v>
      </c>
      <c r="E85" s="18">
        <v>54.8</v>
      </c>
      <c r="F85" s="18">
        <v>55.0</v>
      </c>
      <c r="G85" s="18">
        <v>52.5</v>
      </c>
      <c r="H85" s="18">
        <v>70.6</v>
      </c>
      <c r="I85" s="18">
        <v>54.0</v>
      </c>
      <c r="J85" s="18">
        <v>53.5</v>
      </c>
      <c r="K85" s="18">
        <v>62.0</v>
      </c>
      <c r="L85" s="18">
        <v>61.5</v>
      </c>
      <c r="M85" s="31">
        <f t="shared" si="1"/>
        <v>62.23333333</v>
      </c>
      <c r="N85" s="30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17">
        <v>38384.0</v>
      </c>
      <c r="B86" s="18">
        <v>59.6</v>
      </c>
      <c r="C86" s="18">
        <v>65.0</v>
      </c>
      <c r="D86" s="18">
        <v>63.2</v>
      </c>
      <c r="E86" s="18">
        <v>54.7</v>
      </c>
      <c r="F86" s="18">
        <v>55.5</v>
      </c>
      <c r="G86" s="18">
        <v>56.0</v>
      </c>
      <c r="H86" s="18">
        <v>71.3</v>
      </c>
      <c r="I86" s="18">
        <v>56.5</v>
      </c>
      <c r="J86" s="18">
        <v>55.5</v>
      </c>
      <c r="K86" s="18">
        <v>61.0</v>
      </c>
      <c r="L86" s="18">
        <v>64.0</v>
      </c>
      <c r="M86" s="31">
        <f t="shared" si="1"/>
        <v>63.33333333</v>
      </c>
      <c r="N86" s="30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17">
        <v>38412.0</v>
      </c>
      <c r="B87" s="18">
        <v>57.4</v>
      </c>
      <c r="C87" s="18">
        <v>61.1</v>
      </c>
      <c r="D87" s="18">
        <v>62.1</v>
      </c>
      <c r="E87" s="18">
        <v>53.7</v>
      </c>
      <c r="F87" s="18">
        <v>52.5</v>
      </c>
      <c r="G87" s="18">
        <v>49.5</v>
      </c>
      <c r="H87" s="18">
        <v>68.6</v>
      </c>
      <c r="I87" s="18">
        <v>48.0</v>
      </c>
      <c r="J87" s="18">
        <v>52.5</v>
      </c>
      <c r="K87" s="18">
        <v>53.0</v>
      </c>
      <c r="L87" s="18">
        <v>64.5</v>
      </c>
      <c r="M87" s="31">
        <f t="shared" si="1"/>
        <v>61.06666667</v>
      </c>
      <c r="N87" s="30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17">
        <v>38443.0</v>
      </c>
      <c r="B88" s="18">
        <v>58.9</v>
      </c>
      <c r="C88" s="18">
        <v>61.2</v>
      </c>
      <c r="D88" s="18">
        <v>63.0</v>
      </c>
      <c r="E88" s="18">
        <v>58.9</v>
      </c>
      <c r="F88" s="18">
        <v>52.5</v>
      </c>
      <c r="G88" s="18">
        <v>52.0</v>
      </c>
      <c r="H88" s="18">
        <v>70.0</v>
      </c>
      <c r="I88" s="18">
        <v>51.5</v>
      </c>
      <c r="J88" s="18">
        <v>56.0</v>
      </c>
      <c r="K88" s="18">
        <v>57.5</v>
      </c>
      <c r="L88" s="18">
        <v>64.5</v>
      </c>
      <c r="M88" s="31">
        <f t="shared" si="1"/>
        <v>61.83333333</v>
      </c>
      <c r="N88" s="30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17">
        <v>38473.0</v>
      </c>
      <c r="B89" s="18">
        <v>58.5</v>
      </c>
      <c r="C89" s="18">
        <v>61.7</v>
      </c>
      <c r="D89" s="18">
        <v>61.9</v>
      </c>
      <c r="E89" s="18">
        <v>57.2</v>
      </c>
      <c r="F89" s="18">
        <v>53.0</v>
      </c>
      <c r="G89" s="18">
        <v>52.5</v>
      </c>
      <c r="H89" s="18">
        <v>66.1</v>
      </c>
      <c r="I89" s="18">
        <v>56.5</v>
      </c>
      <c r="J89" s="18">
        <v>51.5</v>
      </c>
      <c r="K89" s="18">
        <v>59.0</v>
      </c>
      <c r="L89" s="18">
        <v>64.5</v>
      </c>
      <c r="M89" s="31">
        <f t="shared" si="1"/>
        <v>60.33333333</v>
      </c>
      <c r="N89" s="30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17">
        <v>38504.0</v>
      </c>
      <c r="B90" s="18">
        <v>55.7</v>
      </c>
      <c r="C90" s="18">
        <v>59.2</v>
      </c>
      <c r="D90" s="18">
        <v>57.2</v>
      </c>
      <c r="E90" s="18">
        <v>53.3</v>
      </c>
      <c r="F90" s="18">
        <v>53.0</v>
      </c>
      <c r="G90" s="18">
        <v>54.5</v>
      </c>
      <c r="H90" s="18">
        <v>63.8</v>
      </c>
      <c r="I90" s="18">
        <v>54.0</v>
      </c>
      <c r="J90" s="18">
        <v>52.5</v>
      </c>
      <c r="K90" s="18">
        <v>58.5</v>
      </c>
      <c r="L90" s="18">
        <v>60.5</v>
      </c>
      <c r="M90" s="31">
        <f t="shared" si="1"/>
        <v>58</v>
      </c>
      <c r="N90" s="30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17">
        <v>38534.0</v>
      </c>
      <c r="B91" s="18">
        <v>55.5</v>
      </c>
      <c r="C91" s="18">
        <v>58.1</v>
      </c>
      <c r="D91" s="18">
        <v>58.3</v>
      </c>
      <c r="E91" s="18">
        <v>51.9</v>
      </c>
      <c r="F91" s="18">
        <v>53.5</v>
      </c>
      <c r="G91" s="18">
        <v>51.5</v>
      </c>
      <c r="H91" s="18">
        <v>56.8</v>
      </c>
      <c r="I91" s="18">
        <v>56.5</v>
      </c>
      <c r="J91" s="18">
        <v>62.0</v>
      </c>
      <c r="K91" s="18">
        <v>57.5</v>
      </c>
      <c r="L91" s="18">
        <v>63.0</v>
      </c>
      <c r="M91" s="31">
        <f t="shared" si="1"/>
        <v>56.2</v>
      </c>
      <c r="N91" s="30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17">
        <v>38565.0</v>
      </c>
      <c r="B92" s="18">
        <v>58.4</v>
      </c>
      <c r="C92" s="18">
        <v>61.3</v>
      </c>
      <c r="D92" s="18">
        <v>59.1</v>
      </c>
      <c r="E92" s="18">
        <v>56.7</v>
      </c>
      <c r="F92" s="18">
        <v>56.5</v>
      </c>
      <c r="G92" s="18">
        <v>52.0</v>
      </c>
      <c r="H92" s="18">
        <v>60.3</v>
      </c>
      <c r="I92" s="18">
        <v>52.5</v>
      </c>
      <c r="J92" s="18">
        <v>50.0</v>
      </c>
      <c r="K92" s="18">
        <v>58.5</v>
      </c>
      <c r="L92" s="18">
        <v>64.5</v>
      </c>
      <c r="M92" s="31">
        <f t="shared" si="1"/>
        <v>58.63333333</v>
      </c>
      <c r="N92" s="30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17">
        <v>38596.0</v>
      </c>
      <c r="B93" s="18">
        <v>58.9</v>
      </c>
      <c r="C93" s="18">
        <v>61.0</v>
      </c>
      <c r="D93" s="18">
        <v>61.9</v>
      </c>
      <c r="E93" s="18">
        <v>55.5</v>
      </c>
      <c r="F93" s="18">
        <v>57.0</v>
      </c>
      <c r="G93" s="18">
        <v>52.5</v>
      </c>
      <c r="H93" s="18">
        <v>68.5</v>
      </c>
      <c r="I93" s="18">
        <v>53.5</v>
      </c>
      <c r="J93" s="18">
        <v>53.5</v>
      </c>
      <c r="K93" s="18">
        <v>62.0</v>
      </c>
      <c r="L93" s="18">
        <v>64.0</v>
      </c>
      <c r="M93" s="31">
        <f t="shared" si="1"/>
        <v>62.46666667</v>
      </c>
      <c r="N93" s="30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17">
        <v>38626.0</v>
      </c>
      <c r="B94" s="18">
        <v>61.3</v>
      </c>
      <c r="C94" s="18">
        <v>64.8</v>
      </c>
      <c r="D94" s="18">
        <v>64.6</v>
      </c>
      <c r="E94" s="18">
        <v>60.8</v>
      </c>
      <c r="F94" s="18">
        <v>55.0</v>
      </c>
      <c r="G94" s="18">
        <v>53.5</v>
      </c>
      <c r="H94" s="18">
        <v>68.3</v>
      </c>
      <c r="I94" s="18">
        <v>52.0</v>
      </c>
      <c r="J94" s="18">
        <v>63.5</v>
      </c>
      <c r="K94" s="18">
        <v>61.5</v>
      </c>
      <c r="L94" s="18">
        <v>67.0</v>
      </c>
      <c r="M94" s="31">
        <f t="shared" si="1"/>
        <v>62.63333333</v>
      </c>
      <c r="N94" s="30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17">
        <v>38657.0</v>
      </c>
      <c r="B95" s="18">
        <v>56.2</v>
      </c>
      <c r="C95" s="18">
        <v>55.4</v>
      </c>
      <c r="D95" s="18">
        <v>57.8</v>
      </c>
      <c r="E95" s="18">
        <v>55.6</v>
      </c>
      <c r="F95" s="18">
        <v>56.0</v>
      </c>
      <c r="G95" s="18">
        <v>50.0</v>
      </c>
      <c r="H95" s="18">
        <v>78.8</v>
      </c>
      <c r="I95" s="18">
        <v>52.0</v>
      </c>
      <c r="J95" s="18">
        <v>55.0</v>
      </c>
      <c r="K95" s="18">
        <v>58.5</v>
      </c>
      <c r="L95" s="18">
        <v>64.0</v>
      </c>
      <c r="M95" s="31">
        <f t="shared" si="1"/>
        <v>64.2</v>
      </c>
      <c r="N95" s="30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17">
        <v>38687.0</v>
      </c>
      <c r="B96" s="18">
        <v>57.4</v>
      </c>
      <c r="C96" s="18">
        <v>59.1</v>
      </c>
      <c r="D96" s="18">
        <v>58.1</v>
      </c>
      <c r="E96" s="18">
        <v>54.0</v>
      </c>
      <c r="F96" s="18">
        <v>58.5</v>
      </c>
      <c r="G96" s="18">
        <v>50.0</v>
      </c>
      <c r="H96" s="18">
        <v>76.3</v>
      </c>
      <c r="I96" s="18">
        <v>55.0</v>
      </c>
      <c r="J96" s="18">
        <v>54.5</v>
      </c>
      <c r="K96" s="18">
        <v>53.5</v>
      </c>
      <c r="L96" s="18">
        <v>55.0</v>
      </c>
      <c r="M96" s="31">
        <f t="shared" si="1"/>
        <v>64.3</v>
      </c>
      <c r="N96" s="30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17">
        <v>38718.0</v>
      </c>
      <c r="B97" s="18">
        <v>59.1</v>
      </c>
      <c r="C97" s="18">
        <v>58.9</v>
      </c>
      <c r="D97" s="18">
        <v>60.0</v>
      </c>
      <c r="E97" s="18">
        <v>57.1</v>
      </c>
      <c r="F97" s="18">
        <v>60.5</v>
      </c>
      <c r="G97" s="18">
        <v>54.0</v>
      </c>
      <c r="H97" s="18">
        <v>71.2</v>
      </c>
      <c r="I97" s="18">
        <v>54.0</v>
      </c>
      <c r="J97" s="18">
        <v>57.0</v>
      </c>
      <c r="K97" s="18">
        <v>56.5</v>
      </c>
      <c r="L97" s="18">
        <v>60.0</v>
      </c>
      <c r="M97" s="31">
        <f t="shared" si="1"/>
        <v>63.9</v>
      </c>
      <c r="N97" s="30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17">
        <v>38749.0</v>
      </c>
      <c r="B98" s="18">
        <v>58.7</v>
      </c>
      <c r="C98" s="18">
        <v>59.9</v>
      </c>
      <c r="D98" s="18">
        <v>62.2</v>
      </c>
      <c r="E98" s="18">
        <v>56.2</v>
      </c>
      <c r="F98" s="18">
        <v>56.5</v>
      </c>
      <c r="G98" s="18">
        <v>56.0</v>
      </c>
      <c r="H98" s="18">
        <v>67.2</v>
      </c>
      <c r="I98" s="18">
        <v>54.0</v>
      </c>
      <c r="J98" s="18">
        <v>61.5</v>
      </c>
      <c r="K98" s="18">
        <v>56.5</v>
      </c>
      <c r="L98" s="18">
        <v>59.0</v>
      </c>
      <c r="M98" s="31">
        <f t="shared" si="1"/>
        <v>61.96666667</v>
      </c>
      <c r="N98" s="30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17">
        <v>38777.0</v>
      </c>
      <c r="B99" s="18">
        <v>55.8</v>
      </c>
      <c r="C99" s="18">
        <v>57.8</v>
      </c>
      <c r="D99" s="18">
        <v>57.4</v>
      </c>
      <c r="E99" s="18">
        <v>53.4</v>
      </c>
      <c r="F99" s="18">
        <v>54.5</v>
      </c>
      <c r="G99" s="18">
        <v>55.0</v>
      </c>
      <c r="H99" s="18">
        <v>69.6</v>
      </c>
      <c r="I99" s="18">
        <v>52.5</v>
      </c>
      <c r="J99" s="18">
        <v>58.0</v>
      </c>
      <c r="K99" s="18">
        <v>49.5</v>
      </c>
      <c r="L99" s="18">
        <v>63.0</v>
      </c>
      <c r="M99" s="31">
        <f t="shared" si="1"/>
        <v>60.5</v>
      </c>
      <c r="N99" s="30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17">
        <v>38808.0</v>
      </c>
      <c r="B100" s="18">
        <v>57.4</v>
      </c>
      <c r="C100" s="18">
        <v>61.6</v>
      </c>
      <c r="D100" s="18">
        <v>57.9</v>
      </c>
      <c r="E100" s="18">
        <v>57.6</v>
      </c>
      <c r="F100" s="18">
        <v>52.5</v>
      </c>
      <c r="G100" s="18">
        <v>53.0</v>
      </c>
      <c r="H100" s="18">
        <v>69.8</v>
      </c>
      <c r="I100" s="18">
        <v>54.0</v>
      </c>
      <c r="J100" s="18">
        <v>60.0</v>
      </c>
      <c r="K100" s="18">
        <v>55.0</v>
      </c>
      <c r="L100" s="18">
        <v>63.5</v>
      </c>
      <c r="M100" s="31">
        <f t="shared" si="1"/>
        <v>60.06666667</v>
      </c>
      <c r="N100" s="30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17">
        <v>38838.0</v>
      </c>
      <c r="B101" s="18">
        <v>57.6</v>
      </c>
      <c r="C101" s="18">
        <v>60.8</v>
      </c>
      <c r="D101" s="18">
        <v>60.3</v>
      </c>
      <c r="E101" s="18">
        <v>55.2</v>
      </c>
      <c r="F101" s="18">
        <v>54.0</v>
      </c>
      <c r="G101" s="18">
        <v>54.0</v>
      </c>
      <c r="H101" s="18">
        <v>61.4</v>
      </c>
      <c r="I101" s="18">
        <v>50.5</v>
      </c>
      <c r="J101" s="18">
        <v>63.5</v>
      </c>
      <c r="K101" s="18">
        <v>60.5</v>
      </c>
      <c r="L101" s="18">
        <v>63.0</v>
      </c>
      <c r="M101" s="31">
        <f t="shared" si="1"/>
        <v>58.56666667</v>
      </c>
      <c r="N101" s="30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17">
        <v>38869.0</v>
      </c>
      <c r="B102" s="18">
        <v>58.4</v>
      </c>
      <c r="C102" s="18">
        <v>61.8</v>
      </c>
      <c r="D102" s="18">
        <v>61.1</v>
      </c>
      <c r="E102" s="18">
        <v>56.2</v>
      </c>
      <c r="F102" s="18">
        <v>54.5</v>
      </c>
      <c r="G102" s="18">
        <v>59.0</v>
      </c>
      <c r="H102" s="18">
        <v>69.8</v>
      </c>
      <c r="I102" s="18">
        <v>54.0</v>
      </c>
      <c r="J102" s="18">
        <v>59.5</v>
      </c>
      <c r="K102" s="18">
        <v>57.0</v>
      </c>
      <c r="L102" s="18">
        <v>60.0</v>
      </c>
      <c r="M102" s="31">
        <f t="shared" si="1"/>
        <v>61.8</v>
      </c>
      <c r="N102" s="30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17">
        <v>38899.0</v>
      </c>
      <c r="B103" s="18">
        <v>57.2</v>
      </c>
      <c r="C103" s="18">
        <v>58.7</v>
      </c>
      <c r="D103" s="18">
        <v>58.3</v>
      </c>
      <c r="E103" s="18">
        <v>55.3</v>
      </c>
      <c r="F103" s="18">
        <v>56.5</v>
      </c>
      <c r="G103" s="18">
        <v>59.0</v>
      </c>
      <c r="H103" s="18">
        <v>69.6</v>
      </c>
      <c r="I103" s="18">
        <v>52.0</v>
      </c>
      <c r="J103" s="18">
        <v>64.0</v>
      </c>
      <c r="K103" s="18">
        <v>58.5</v>
      </c>
      <c r="L103" s="18">
        <v>59.0</v>
      </c>
      <c r="M103" s="31">
        <f t="shared" si="1"/>
        <v>61.46666667</v>
      </c>
      <c r="N103" s="30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17">
        <v>38930.0</v>
      </c>
      <c r="B104" s="18">
        <v>55.3</v>
      </c>
      <c r="C104" s="18">
        <v>56.2</v>
      </c>
      <c r="D104" s="18">
        <v>57.0</v>
      </c>
      <c r="E104" s="18">
        <v>51.9</v>
      </c>
      <c r="F104" s="18">
        <v>56.0</v>
      </c>
      <c r="G104" s="18">
        <v>51.5</v>
      </c>
      <c r="H104" s="18">
        <v>69.7</v>
      </c>
      <c r="I104" s="18">
        <v>55.0</v>
      </c>
      <c r="J104" s="18">
        <v>54.5</v>
      </c>
      <c r="K104" s="18">
        <v>55.5</v>
      </c>
      <c r="L104" s="18">
        <v>63.0</v>
      </c>
      <c r="M104" s="31">
        <f t="shared" si="1"/>
        <v>60.9</v>
      </c>
      <c r="N104" s="30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17">
        <v>38961.0</v>
      </c>
      <c r="B105" s="18">
        <v>55.2</v>
      </c>
      <c r="C105" s="18">
        <v>56.1</v>
      </c>
      <c r="D105" s="18">
        <v>56.4</v>
      </c>
      <c r="E105" s="18">
        <v>53.9</v>
      </c>
      <c r="F105" s="18">
        <v>54.5</v>
      </c>
      <c r="G105" s="18">
        <v>53.0</v>
      </c>
      <c r="H105" s="18">
        <v>70.9</v>
      </c>
      <c r="I105" s="18">
        <v>56.0</v>
      </c>
      <c r="J105" s="18">
        <v>56.0</v>
      </c>
      <c r="K105" s="18">
        <v>60.5</v>
      </c>
      <c r="L105" s="18">
        <v>60.0</v>
      </c>
      <c r="M105" s="31">
        <f t="shared" si="1"/>
        <v>60.6</v>
      </c>
      <c r="N105" s="30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17">
        <v>38991.0</v>
      </c>
      <c r="B106" s="18">
        <v>53.7</v>
      </c>
      <c r="C106" s="18">
        <v>56.8</v>
      </c>
      <c r="D106" s="18">
        <v>52.1</v>
      </c>
      <c r="E106" s="18">
        <v>52.5</v>
      </c>
      <c r="F106" s="18">
        <v>53.5</v>
      </c>
      <c r="G106" s="18">
        <v>51.5</v>
      </c>
      <c r="H106" s="18">
        <v>74.2</v>
      </c>
      <c r="I106" s="18">
        <v>49.5</v>
      </c>
      <c r="J106" s="18">
        <v>53.0</v>
      </c>
      <c r="K106" s="18">
        <v>60.0</v>
      </c>
      <c r="L106" s="18">
        <v>59.0</v>
      </c>
      <c r="M106" s="31">
        <f t="shared" si="1"/>
        <v>59.93333333</v>
      </c>
      <c r="N106" s="30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17">
        <v>39022.0</v>
      </c>
      <c r="B107" s="18">
        <v>54.8</v>
      </c>
      <c r="C107" s="18">
        <v>54.3</v>
      </c>
      <c r="D107" s="18">
        <v>57.9</v>
      </c>
      <c r="E107" s="18">
        <v>52.9</v>
      </c>
      <c r="F107" s="18">
        <v>54.0</v>
      </c>
      <c r="G107" s="18">
        <v>50.5</v>
      </c>
      <c r="H107" s="18">
        <v>59.4</v>
      </c>
      <c r="I107" s="18">
        <v>53.0</v>
      </c>
      <c r="J107" s="18">
        <v>59.0</v>
      </c>
      <c r="K107" s="18">
        <v>55.0</v>
      </c>
      <c r="L107" s="18">
        <v>63.5</v>
      </c>
      <c r="M107" s="31">
        <f t="shared" si="1"/>
        <v>57.1</v>
      </c>
      <c r="N107" s="30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17">
        <v>39052.0</v>
      </c>
      <c r="B108" s="18">
        <v>54.7</v>
      </c>
      <c r="C108" s="18">
        <v>56.7</v>
      </c>
      <c r="D108" s="18">
        <v>55.0</v>
      </c>
      <c r="E108" s="18">
        <v>52.4</v>
      </c>
      <c r="F108" s="18">
        <v>54.5</v>
      </c>
      <c r="G108" s="18">
        <v>53.0</v>
      </c>
      <c r="H108" s="18">
        <v>53.4</v>
      </c>
      <c r="I108" s="18">
        <v>51.5</v>
      </c>
      <c r="J108" s="18">
        <v>63.5</v>
      </c>
      <c r="K108" s="18">
        <v>57.5</v>
      </c>
      <c r="L108" s="18">
        <v>64.5</v>
      </c>
      <c r="M108" s="31">
        <f t="shared" si="1"/>
        <v>54.3</v>
      </c>
      <c r="N108" s="30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17">
        <v>39083.0</v>
      </c>
      <c r="B109" s="18">
        <v>54.3</v>
      </c>
      <c r="C109" s="18">
        <v>58.6</v>
      </c>
      <c r="D109" s="18">
        <v>56.7</v>
      </c>
      <c r="E109" s="18">
        <v>52.0</v>
      </c>
      <c r="F109" s="18">
        <v>50.0</v>
      </c>
      <c r="G109" s="18">
        <v>51.5</v>
      </c>
      <c r="H109" s="18">
        <v>55.4</v>
      </c>
      <c r="I109" s="18">
        <v>54.5</v>
      </c>
      <c r="J109" s="18">
        <v>58.5</v>
      </c>
      <c r="K109" s="18">
        <v>59.5</v>
      </c>
      <c r="L109" s="18">
        <v>57.0</v>
      </c>
      <c r="M109" s="31">
        <f t="shared" si="1"/>
        <v>54.03333333</v>
      </c>
      <c r="N109" s="30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17">
        <v>39114.0</v>
      </c>
      <c r="B110" s="18">
        <v>53.4</v>
      </c>
      <c r="C110" s="18">
        <v>56.0</v>
      </c>
      <c r="D110" s="18">
        <v>54.4</v>
      </c>
      <c r="E110" s="18">
        <v>52.3</v>
      </c>
      <c r="F110" s="18">
        <v>51.0</v>
      </c>
      <c r="G110" s="18">
        <v>53.5</v>
      </c>
      <c r="H110" s="18">
        <v>59.7</v>
      </c>
      <c r="I110" s="18">
        <v>48.0</v>
      </c>
      <c r="J110" s="18">
        <v>61.5</v>
      </c>
      <c r="K110" s="18">
        <v>62.0</v>
      </c>
      <c r="L110" s="18">
        <v>63.5</v>
      </c>
      <c r="M110" s="31">
        <f t="shared" si="1"/>
        <v>55.03333333</v>
      </c>
      <c r="N110" s="30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17">
        <v>39142.0</v>
      </c>
      <c r="B111" s="18">
        <v>55.2</v>
      </c>
      <c r="C111" s="18">
        <v>57.7</v>
      </c>
      <c r="D111" s="18">
        <v>56.0</v>
      </c>
      <c r="E111" s="18">
        <v>53.7</v>
      </c>
      <c r="F111" s="18">
        <v>53.5</v>
      </c>
      <c r="G111" s="18">
        <v>47.0</v>
      </c>
      <c r="H111" s="18">
        <v>56.7</v>
      </c>
      <c r="I111" s="18">
        <v>49.0</v>
      </c>
      <c r="J111" s="18">
        <v>55.0</v>
      </c>
      <c r="K111" s="18">
        <v>52.0</v>
      </c>
      <c r="L111" s="18">
        <v>65.5</v>
      </c>
      <c r="M111" s="31">
        <f t="shared" si="1"/>
        <v>55.4</v>
      </c>
      <c r="N111" s="30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17">
        <v>39173.0</v>
      </c>
      <c r="B112" s="18">
        <v>54.4</v>
      </c>
      <c r="C112" s="18">
        <v>55.9</v>
      </c>
      <c r="D112" s="18">
        <v>56.5</v>
      </c>
      <c r="E112" s="18">
        <v>52.7</v>
      </c>
      <c r="F112" s="18">
        <v>52.5</v>
      </c>
      <c r="G112" s="18">
        <v>50.5</v>
      </c>
      <c r="H112" s="18">
        <v>56.5</v>
      </c>
      <c r="I112" s="18">
        <v>47.0</v>
      </c>
      <c r="J112" s="18">
        <v>59.0</v>
      </c>
      <c r="K112" s="18">
        <v>54.0</v>
      </c>
      <c r="L112" s="18">
        <v>61.5</v>
      </c>
      <c r="M112" s="31">
        <f t="shared" si="1"/>
        <v>55.16666667</v>
      </c>
      <c r="N112" s="30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17">
        <v>39203.0</v>
      </c>
      <c r="B113" s="18">
        <v>52.5</v>
      </c>
      <c r="C113" s="18">
        <v>53.7</v>
      </c>
      <c r="D113" s="18">
        <v>53.9</v>
      </c>
      <c r="E113" s="18">
        <v>52.2</v>
      </c>
      <c r="F113" s="18">
        <v>50.0</v>
      </c>
      <c r="G113" s="18">
        <v>52.0</v>
      </c>
      <c r="H113" s="18">
        <v>64.4</v>
      </c>
      <c r="I113" s="18">
        <v>52.5</v>
      </c>
      <c r="J113" s="18">
        <v>48.5</v>
      </c>
      <c r="K113" s="18">
        <v>50.0</v>
      </c>
      <c r="L113" s="18">
        <v>63.0</v>
      </c>
      <c r="M113" s="31">
        <f t="shared" si="1"/>
        <v>56.1</v>
      </c>
      <c r="N113" s="30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17">
        <v>39234.0</v>
      </c>
      <c r="B114" s="18">
        <v>53.6</v>
      </c>
      <c r="C114" s="18">
        <v>56.5</v>
      </c>
      <c r="D114" s="18">
        <v>55.7</v>
      </c>
      <c r="E114" s="18">
        <v>51.0</v>
      </c>
      <c r="F114" s="18">
        <v>51.0</v>
      </c>
      <c r="G114" s="18">
        <v>52.0</v>
      </c>
      <c r="H114" s="18">
        <v>63.5</v>
      </c>
      <c r="I114" s="18">
        <v>50.0</v>
      </c>
      <c r="J114" s="18">
        <v>55.5</v>
      </c>
      <c r="K114" s="18">
        <v>52.5</v>
      </c>
      <c r="L114" s="18">
        <v>60.5</v>
      </c>
      <c r="M114" s="31">
        <f t="shared" si="1"/>
        <v>56.73333333</v>
      </c>
      <c r="N114" s="30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17">
        <v>39264.0</v>
      </c>
      <c r="B115" s="18">
        <v>54.6</v>
      </c>
      <c r="C115" s="18">
        <v>58.8</v>
      </c>
      <c r="D115" s="18">
        <v>57.0</v>
      </c>
      <c r="E115" s="18">
        <v>53.0</v>
      </c>
      <c r="F115" s="18">
        <v>49.5</v>
      </c>
      <c r="G115" s="18">
        <v>61.0</v>
      </c>
      <c r="H115" s="18">
        <v>63.1</v>
      </c>
      <c r="I115" s="18">
        <v>48.0</v>
      </c>
      <c r="J115" s="18">
        <v>66.0</v>
      </c>
      <c r="K115" s="18">
        <v>55.5</v>
      </c>
      <c r="L115" s="18">
        <v>61.0</v>
      </c>
      <c r="M115" s="31">
        <f t="shared" si="1"/>
        <v>56.53333333</v>
      </c>
      <c r="N115" s="30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17">
        <v>39295.0</v>
      </c>
      <c r="B116" s="18">
        <v>54.9</v>
      </c>
      <c r="C116" s="18">
        <v>59.8</v>
      </c>
      <c r="D116" s="18">
        <v>55.0</v>
      </c>
      <c r="E116" s="18">
        <v>54.2</v>
      </c>
      <c r="F116" s="18">
        <v>50.5</v>
      </c>
      <c r="G116" s="18">
        <v>52.5</v>
      </c>
      <c r="H116" s="18">
        <v>61.7</v>
      </c>
      <c r="I116" s="18">
        <v>46.5</v>
      </c>
      <c r="J116" s="18">
        <v>59.0</v>
      </c>
      <c r="K116" s="18">
        <v>57.5</v>
      </c>
      <c r="L116" s="18">
        <v>60.5</v>
      </c>
      <c r="M116" s="31">
        <f t="shared" si="1"/>
        <v>55.73333333</v>
      </c>
      <c r="N116" s="30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17">
        <v>39326.0</v>
      </c>
      <c r="B117" s="18">
        <v>53.8</v>
      </c>
      <c r="C117" s="18">
        <v>56.9</v>
      </c>
      <c r="D117" s="18">
        <v>55.2</v>
      </c>
      <c r="E117" s="18">
        <v>51.4</v>
      </c>
      <c r="F117" s="18">
        <v>51.5</v>
      </c>
      <c r="G117" s="18">
        <v>55.0</v>
      </c>
      <c r="H117" s="18">
        <v>59.5</v>
      </c>
      <c r="I117" s="18">
        <v>53.0</v>
      </c>
      <c r="J117" s="18">
        <v>52.5</v>
      </c>
      <c r="K117" s="18">
        <v>54.5</v>
      </c>
      <c r="L117" s="18">
        <v>65.0</v>
      </c>
      <c r="M117" s="31">
        <f t="shared" si="1"/>
        <v>55.4</v>
      </c>
      <c r="N117" s="30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17">
        <v>39356.0</v>
      </c>
      <c r="B118" s="18">
        <v>52.5</v>
      </c>
      <c r="C118" s="18">
        <v>55.5</v>
      </c>
      <c r="D118" s="18">
        <v>55.5</v>
      </c>
      <c r="E118" s="18">
        <v>48.3</v>
      </c>
      <c r="F118" s="18">
        <v>50.5</v>
      </c>
      <c r="G118" s="18">
        <v>57.0</v>
      </c>
      <c r="H118" s="18">
        <v>60.4</v>
      </c>
      <c r="I118" s="18">
        <v>58.6</v>
      </c>
      <c r="J118" s="18">
        <v>53.5</v>
      </c>
      <c r="K118" s="18">
        <v>55.0</v>
      </c>
      <c r="L118" s="18">
        <v>61.5</v>
      </c>
      <c r="M118" s="31">
        <f t="shared" si="1"/>
        <v>55.46666667</v>
      </c>
      <c r="N118" s="30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17">
        <v>39387.0</v>
      </c>
      <c r="B119" s="18">
        <v>52.6</v>
      </c>
      <c r="C119" s="18">
        <v>54.1</v>
      </c>
      <c r="D119" s="18">
        <v>53.4</v>
      </c>
      <c r="E119" s="18">
        <v>52.3</v>
      </c>
      <c r="F119" s="18">
        <v>50.5</v>
      </c>
      <c r="G119" s="18">
        <v>50.0</v>
      </c>
      <c r="H119" s="18">
        <v>67.8</v>
      </c>
      <c r="I119" s="18">
        <v>47.0</v>
      </c>
      <c r="J119" s="18">
        <v>50.0</v>
      </c>
      <c r="K119" s="18">
        <v>51.0</v>
      </c>
      <c r="L119" s="18">
        <v>62.0</v>
      </c>
      <c r="M119" s="31">
        <f t="shared" si="1"/>
        <v>57.23333333</v>
      </c>
      <c r="N119" s="30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17">
        <v>39417.0</v>
      </c>
      <c r="B120" s="18">
        <v>53.1</v>
      </c>
      <c r="C120" s="18">
        <v>54.9</v>
      </c>
      <c r="D120" s="18">
        <v>54.8</v>
      </c>
      <c r="E120" s="18">
        <v>52.8</v>
      </c>
      <c r="F120" s="18">
        <v>50.0</v>
      </c>
      <c r="G120" s="18">
        <v>49.5</v>
      </c>
      <c r="H120" s="18">
        <v>65.4</v>
      </c>
      <c r="I120" s="18">
        <v>43.5</v>
      </c>
      <c r="J120" s="18">
        <v>56.0</v>
      </c>
      <c r="K120" s="18">
        <v>55.5</v>
      </c>
      <c r="L120" s="18">
        <v>60.0</v>
      </c>
      <c r="M120" s="31">
        <f t="shared" si="1"/>
        <v>56.73333333</v>
      </c>
      <c r="N120" s="30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17">
        <v>39448.0</v>
      </c>
      <c r="B121" s="18">
        <v>52.3</v>
      </c>
      <c r="C121" s="18">
        <v>54.7</v>
      </c>
      <c r="D121" s="18">
        <v>51.9</v>
      </c>
      <c r="E121" s="18">
        <v>51.1</v>
      </c>
      <c r="F121" s="18">
        <v>51.5</v>
      </c>
      <c r="G121" s="18">
        <v>50.5</v>
      </c>
      <c r="H121" s="18">
        <v>73.8</v>
      </c>
      <c r="I121" s="18">
        <v>48.5</v>
      </c>
      <c r="J121" s="18">
        <v>55.5</v>
      </c>
      <c r="K121" s="18">
        <v>49.5</v>
      </c>
      <c r="L121" s="18">
        <v>61.5</v>
      </c>
      <c r="M121" s="31">
        <f t="shared" si="1"/>
        <v>59.06666667</v>
      </c>
      <c r="N121" s="30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17">
        <v>39479.0</v>
      </c>
      <c r="B122" s="18">
        <v>52.2</v>
      </c>
      <c r="C122" s="18">
        <v>53.2</v>
      </c>
      <c r="D122" s="18">
        <v>51.9</v>
      </c>
      <c r="E122" s="18">
        <v>51.1</v>
      </c>
      <c r="F122" s="18">
        <v>52.5</v>
      </c>
      <c r="G122" s="18">
        <v>50.5</v>
      </c>
      <c r="H122" s="18">
        <v>72.7</v>
      </c>
      <c r="I122" s="18">
        <v>49.0</v>
      </c>
      <c r="J122" s="18">
        <v>50.0</v>
      </c>
      <c r="K122" s="18">
        <v>50.5</v>
      </c>
      <c r="L122" s="18">
        <v>64.5</v>
      </c>
      <c r="M122" s="31">
        <f t="shared" si="1"/>
        <v>59.03333333</v>
      </c>
      <c r="N122" s="30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17">
        <v>39508.0</v>
      </c>
      <c r="B123" s="18">
        <v>45.0</v>
      </c>
      <c r="C123" s="18">
        <v>41.6</v>
      </c>
      <c r="D123" s="18">
        <v>44.9</v>
      </c>
      <c r="E123" s="18">
        <v>44.6</v>
      </c>
      <c r="F123" s="18">
        <v>49.0</v>
      </c>
      <c r="G123" s="18">
        <v>44.5</v>
      </c>
      <c r="H123" s="18">
        <v>71.1</v>
      </c>
      <c r="I123" s="18">
        <v>46.0</v>
      </c>
      <c r="J123" s="18">
        <v>52.0</v>
      </c>
      <c r="K123" s="18">
        <v>41.5</v>
      </c>
      <c r="L123" s="18">
        <v>57.0</v>
      </c>
      <c r="M123" s="31">
        <f t="shared" si="1"/>
        <v>55</v>
      </c>
      <c r="N123" s="30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17">
        <v>39539.0</v>
      </c>
      <c r="B124" s="18">
        <v>50.1</v>
      </c>
      <c r="C124" s="18">
        <v>52.2</v>
      </c>
      <c r="D124" s="18">
        <v>50.4</v>
      </c>
      <c r="E124" s="18">
        <v>47.7</v>
      </c>
      <c r="F124" s="18">
        <v>50.0</v>
      </c>
      <c r="G124" s="18">
        <v>50.0</v>
      </c>
      <c r="H124" s="18">
        <v>71.6</v>
      </c>
      <c r="I124" s="18">
        <v>49.5</v>
      </c>
      <c r="J124" s="18">
        <v>46.5</v>
      </c>
      <c r="K124" s="18">
        <v>49.0</v>
      </c>
      <c r="L124" s="18">
        <v>60.5</v>
      </c>
      <c r="M124" s="31">
        <f t="shared" si="1"/>
        <v>57.33333333</v>
      </c>
      <c r="N124" s="30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17">
        <v>39569.0</v>
      </c>
      <c r="B125" s="18">
        <v>50.2</v>
      </c>
      <c r="C125" s="18">
        <v>53.0</v>
      </c>
      <c r="D125" s="18">
        <v>50.8</v>
      </c>
      <c r="E125" s="18">
        <v>47.9</v>
      </c>
      <c r="F125" s="18">
        <v>49.0</v>
      </c>
      <c r="G125" s="18">
        <v>51.5</v>
      </c>
      <c r="H125" s="18">
        <v>73.6</v>
      </c>
      <c r="I125" s="18">
        <v>47.5</v>
      </c>
      <c r="J125" s="18">
        <v>55.0</v>
      </c>
      <c r="K125" s="18">
        <v>54.5</v>
      </c>
      <c r="L125" s="18">
        <v>60.5</v>
      </c>
      <c r="M125" s="31">
        <f t="shared" si="1"/>
        <v>57.8</v>
      </c>
      <c r="N125" s="30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17">
        <v>39600.0</v>
      </c>
      <c r="B126" s="18">
        <v>51.8</v>
      </c>
      <c r="C126" s="18">
        <v>51.6</v>
      </c>
      <c r="D126" s="18">
        <v>49.6</v>
      </c>
      <c r="E126" s="18">
        <v>49.8</v>
      </c>
      <c r="F126" s="18">
        <v>56.0</v>
      </c>
      <c r="G126" s="18">
        <v>47.0</v>
      </c>
      <c r="H126" s="18">
        <v>72.7</v>
      </c>
      <c r="I126" s="18">
        <v>50.0</v>
      </c>
      <c r="J126" s="18">
        <v>48.5</v>
      </c>
      <c r="K126" s="18">
        <v>50.0</v>
      </c>
      <c r="L126" s="18">
        <v>63.0</v>
      </c>
      <c r="M126" s="31">
        <f t="shared" si="1"/>
        <v>59.43333333</v>
      </c>
      <c r="N126" s="30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17">
        <v>39630.0</v>
      </c>
      <c r="B127" s="18">
        <v>51.4</v>
      </c>
      <c r="C127" s="18">
        <v>54.0</v>
      </c>
      <c r="D127" s="18">
        <v>52.2</v>
      </c>
      <c r="E127" s="18">
        <v>48.2</v>
      </c>
      <c r="F127" s="18">
        <v>51.0</v>
      </c>
      <c r="G127" s="18">
        <v>54.0</v>
      </c>
      <c r="H127" s="18">
        <v>75.9</v>
      </c>
      <c r="I127" s="18">
        <v>49.0</v>
      </c>
      <c r="J127" s="18">
        <v>54.0</v>
      </c>
      <c r="K127" s="18">
        <v>48.0</v>
      </c>
      <c r="L127" s="18">
        <v>66.5</v>
      </c>
      <c r="M127" s="31">
        <f t="shared" si="1"/>
        <v>59.7</v>
      </c>
      <c r="N127" s="30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17">
        <v>39661.0</v>
      </c>
      <c r="B128" s="18">
        <v>48.6</v>
      </c>
      <c r="C128" s="18">
        <v>49.7</v>
      </c>
      <c r="D128" s="18">
        <v>50.0</v>
      </c>
      <c r="E128" s="18">
        <v>44.2</v>
      </c>
      <c r="F128" s="18">
        <v>50.5</v>
      </c>
      <c r="G128" s="18">
        <v>53.0</v>
      </c>
      <c r="H128" s="18">
        <v>78.6</v>
      </c>
      <c r="I128" s="18">
        <v>49.0</v>
      </c>
      <c r="J128" s="18">
        <v>52.0</v>
      </c>
      <c r="K128" s="18">
        <v>50.5</v>
      </c>
      <c r="L128" s="18">
        <v>60.0</v>
      </c>
      <c r="M128" s="31">
        <f t="shared" si="1"/>
        <v>59.7</v>
      </c>
      <c r="N128" s="30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17">
        <v>39692.0</v>
      </c>
      <c r="B129" s="18">
        <v>50.1</v>
      </c>
      <c r="C129" s="18">
        <v>50.9</v>
      </c>
      <c r="D129" s="18">
        <v>49.3</v>
      </c>
      <c r="E129" s="18">
        <v>46.6</v>
      </c>
      <c r="F129" s="18">
        <v>53.5</v>
      </c>
      <c r="G129" s="18">
        <v>54.5</v>
      </c>
      <c r="H129" s="18">
        <v>75.8</v>
      </c>
      <c r="I129" s="18">
        <v>52.0</v>
      </c>
      <c r="J129" s="18">
        <v>47.5</v>
      </c>
      <c r="K129" s="18">
        <v>49.0</v>
      </c>
      <c r="L129" s="18">
        <v>62.5</v>
      </c>
      <c r="M129" s="31">
        <f t="shared" si="1"/>
        <v>59.53333333</v>
      </c>
      <c r="N129" s="30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17">
        <v>39722.0</v>
      </c>
      <c r="B130" s="18">
        <v>50.1</v>
      </c>
      <c r="C130" s="18">
        <v>50.6</v>
      </c>
      <c r="D130" s="18">
        <v>49.2</v>
      </c>
      <c r="E130" s="18">
        <v>45.0</v>
      </c>
      <c r="F130" s="18">
        <v>55.5</v>
      </c>
      <c r="G130" s="18">
        <v>53.5</v>
      </c>
      <c r="H130" s="18">
        <v>72.9</v>
      </c>
      <c r="I130" s="18">
        <v>49.0</v>
      </c>
      <c r="J130" s="18">
        <v>44.5</v>
      </c>
      <c r="K130" s="18">
        <v>46.0</v>
      </c>
      <c r="L130" s="18">
        <v>66.0</v>
      </c>
      <c r="M130" s="31">
        <f t="shared" si="1"/>
        <v>59.2</v>
      </c>
      <c r="N130" s="30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17">
        <v>39753.0</v>
      </c>
      <c r="B131" s="18">
        <v>49.6</v>
      </c>
      <c r="C131" s="18">
        <v>50.1</v>
      </c>
      <c r="D131" s="18">
        <v>50.7</v>
      </c>
      <c r="E131" s="18">
        <v>44.1</v>
      </c>
      <c r="F131" s="18">
        <v>53.5</v>
      </c>
      <c r="G131" s="18">
        <v>45.5</v>
      </c>
      <c r="H131" s="18">
        <v>72.9</v>
      </c>
      <c r="I131" s="18">
        <v>46.5</v>
      </c>
      <c r="J131" s="18">
        <v>50.5</v>
      </c>
      <c r="K131" s="18">
        <v>47.5</v>
      </c>
      <c r="L131" s="18">
        <v>62.5</v>
      </c>
      <c r="M131" s="31">
        <f t="shared" si="1"/>
        <v>59.03333333</v>
      </c>
      <c r="N131" s="30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17">
        <v>39783.0</v>
      </c>
      <c r="B132" s="18">
        <v>44.2</v>
      </c>
      <c r="C132" s="18">
        <v>43.6</v>
      </c>
      <c r="D132" s="18">
        <v>43.2</v>
      </c>
      <c r="E132" s="18">
        <v>42.0</v>
      </c>
      <c r="F132" s="18">
        <v>48.0</v>
      </c>
      <c r="G132" s="18">
        <v>48.0</v>
      </c>
      <c r="H132" s="18">
        <v>53.3</v>
      </c>
      <c r="I132" s="18">
        <v>44.0</v>
      </c>
      <c r="J132" s="18">
        <v>50.0</v>
      </c>
      <c r="K132" s="18">
        <v>52.0</v>
      </c>
      <c r="L132" s="18">
        <v>67.5</v>
      </c>
      <c r="M132" s="31">
        <f t="shared" si="1"/>
        <v>48.16666667</v>
      </c>
      <c r="N132" s="30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17">
        <v>39814.0</v>
      </c>
      <c r="B133" s="18">
        <v>37.2</v>
      </c>
      <c r="C133" s="18">
        <v>33.3</v>
      </c>
      <c r="D133" s="18">
        <v>35.0</v>
      </c>
      <c r="E133" s="18">
        <v>31.1</v>
      </c>
      <c r="F133" s="18">
        <v>49.5</v>
      </c>
      <c r="G133" s="18">
        <v>46.0</v>
      </c>
      <c r="H133" s="18">
        <v>36.5</v>
      </c>
      <c r="I133" s="18">
        <v>39.5</v>
      </c>
      <c r="J133" s="18">
        <v>34.5</v>
      </c>
      <c r="K133" s="18">
        <v>40.0</v>
      </c>
      <c r="L133" s="18">
        <v>65.0</v>
      </c>
      <c r="M133" s="31">
        <f t="shared" si="1"/>
        <v>40.33333333</v>
      </c>
      <c r="N133" s="30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17">
        <v>39845.0</v>
      </c>
      <c r="B134" s="18">
        <v>39.8</v>
      </c>
      <c r="C134" s="18">
        <v>38.7</v>
      </c>
      <c r="D134" s="18">
        <v>38.3</v>
      </c>
      <c r="E134" s="18">
        <v>34.2</v>
      </c>
      <c r="F134" s="18">
        <v>48.0</v>
      </c>
      <c r="G134" s="18">
        <v>49.0</v>
      </c>
      <c r="H134" s="18">
        <v>36.6</v>
      </c>
      <c r="I134" s="18">
        <v>42.5</v>
      </c>
      <c r="J134" s="18">
        <v>39.5</v>
      </c>
      <c r="K134" s="18">
        <v>32.5</v>
      </c>
      <c r="L134" s="18">
        <v>65.5</v>
      </c>
      <c r="M134" s="31">
        <f t="shared" si="1"/>
        <v>40.96666667</v>
      </c>
      <c r="N134" s="30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17">
        <v>39873.0</v>
      </c>
      <c r="B135" s="18">
        <v>43.3</v>
      </c>
      <c r="C135" s="18">
        <v>44.2</v>
      </c>
      <c r="D135" s="18">
        <v>40.9</v>
      </c>
      <c r="E135" s="18">
        <v>36.4</v>
      </c>
      <c r="F135" s="18">
        <v>51.5</v>
      </c>
      <c r="G135" s="18">
        <v>41.5</v>
      </c>
      <c r="H135" s="18">
        <v>41.5</v>
      </c>
      <c r="I135" s="18">
        <v>37.5</v>
      </c>
      <c r="J135" s="18">
        <v>39.0</v>
      </c>
      <c r="K135" s="18">
        <v>40.5</v>
      </c>
      <c r="L135" s="18">
        <v>62.5</v>
      </c>
      <c r="M135" s="31">
        <f t="shared" si="1"/>
        <v>44.63333333</v>
      </c>
      <c r="N135" s="30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17">
        <v>39904.0</v>
      </c>
      <c r="B136" s="18">
        <v>42.0</v>
      </c>
      <c r="C136" s="18">
        <v>41.5</v>
      </c>
      <c r="D136" s="18">
        <v>41.4</v>
      </c>
      <c r="E136" s="18">
        <v>37.0</v>
      </c>
      <c r="F136" s="18">
        <v>48.0</v>
      </c>
      <c r="G136" s="18">
        <v>39.0</v>
      </c>
      <c r="H136" s="18">
        <v>48.7</v>
      </c>
      <c r="I136" s="18">
        <v>36.5</v>
      </c>
      <c r="J136" s="18">
        <v>40.0</v>
      </c>
      <c r="K136" s="18">
        <v>39.0</v>
      </c>
      <c r="L136" s="18">
        <v>66.5</v>
      </c>
      <c r="M136" s="31">
        <f t="shared" si="1"/>
        <v>46.03333333</v>
      </c>
      <c r="N136" s="30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17">
        <v>39934.0</v>
      </c>
      <c r="B137" s="18">
        <v>41.2</v>
      </c>
      <c r="C137" s="18">
        <v>44.4</v>
      </c>
      <c r="D137" s="18">
        <v>40.1</v>
      </c>
      <c r="E137" s="18">
        <v>32.3</v>
      </c>
      <c r="F137" s="18">
        <v>48.0</v>
      </c>
      <c r="G137" s="18">
        <v>40.0</v>
      </c>
      <c r="H137" s="18">
        <v>39.7</v>
      </c>
      <c r="I137" s="18">
        <v>41.0</v>
      </c>
      <c r="J137" s="18">
        <v>39.0</v>
      </c>
      <c r="K137" s="18">
        <v>37.0</v>
      </c>
      <c r="L137" s="18">
        <v>60.0</v>
      </c>
      <c r="M137" s="31">
        <f t="shared" si="1"/>
        <v>42.6</v>
      </c>
      <c r="N137" s="30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17">
        <v>39965.0</v>
      </c>
      <c r="B138" s="18">
        <v>43.2</v>
      </c>
      <c r="C138" s="18">
        <v>44.7</v>
      </c>
      <c r="D138" s="18">
        <v>46.8</v>
      </c>
      <c r="E138" s="18">
        <v>35.8</v>
      </c>
      <c r="F138" s="18">
        <v>45.5</v>
      </c>
      <c r="G138" s="18">
        <v>43.0</v>
      </c>
      <c r="H138" s="18">
        <v>40.2</v>
      </c>
      <c r="I138" s="18">
        <v>44.0</v>
      </c>
      <c r="J138" s="18">
        <v>48.5</v>
      </c>
      <c r="K138" s="18">
        <v>48.5</v>
      </c>
      <c r="L138" s="18">
        <v>62.5</v>
      </c>
      <c r="M138" s="31">
        <f t="shared" si="1"/>
        <v>44.16666667</v>
      </c>
      <c r="N138" s="30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17">
        <v>39995.0</v>
      </c>
      <c r="B139" s="18">
        <v>43.5</v>
      </c>
      <c r="C139" s="18">
        <v>41.9</v>
      </c>
      <c r="D139" s="18">
        <v>44.3</v>
      </c>
      <c r="E139" s="18">
        <v>37.8</v>
      </c>
      <c r="F139" s="18">
        <v>50.0</v>
      </c>
      <c r="G139" s="18">
        <v>47.0</v>
      </c>
      <c r="H139" s="18">
        <v>47.0</v>
      </c>
      <c r="I139" s="18">
        <v>40.0</v>
      </c>
      <c r="J139" s="18">
        <v>47.0</v>
      </c>
      <c r="K139" s="18">
        <v>46.0</v>
      </c>
      <c r="L139" s="18">
        <v>62.5</v>
      </c>
      <c r="M139" s="31">
        <f t="shared" si="1"/>
        <v>47.1</v>
      </c>
      <c r="N139" s="30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17">
        <v>40026.0</v>
      </c>
      <c r="B140" s="18">
        <v>46.7</v>
      </c>
      <c r="C140" s="18">
        <v>48.8</v>
      </c>
      <c r="D140" s="18">
        <v>49.6</v>
      </c>
      <c r="E140" s="18">
        <v>42.4</v>
      </c>
      <c r="F140" s="18">
        <v>46.0</v>
      </c>
      <c r="G140" s="18">
        <v>45.0</v>
      </c>
      <c r="H140" s="18">
        <v>52.7</v>
      </c>
      <c r="I140" s="18">
        <v>46.0</v>
      </c>
      <c r="J140" s="18">
        <v>54.5</v>
      </c>
      <c r="K140" s="18">
        <v>47.0</v>
      </c>
      <c r="L140" s="18">
        <v>67.0</v>
      </c>
      <c r="M140" s="31">
        <f t="shared" si="1"/>
        <v>49.43333333</v>
      </c>
      <c r="N140" s="30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17">
        <v>40057.0</v>
      </c>
      <c r="B141" s="18">
        <v>46.4</v>
      </c>
      <c r="C141" s="18">
        <v>46.3</v>
      </c>
      <c r="D141" s="18">
        <v>48.3</v>
      </c>
      <c r="E141" s="18">
        <v>41.1</v>
      </c>
      <c r="F141" s="18">
        <v>50.0</v>
      </c>
      <c r="G141" s="18">
        <v>47.0</v>
      </c>
      <c r="H141" s="18">
        <v>40.3</v>
      </c>
      <c r="I141" s="18">
        <v>42.0</v>
      </c>
      <c r="J141" s="18">
        <v>47.5</v>
      </c>
      <c r="K141" s="18">
        <v>45.0</v>
      </c>
      <c r="L141" s="18">
        <v>62.5</v>
      </c>
      <c r="M141" s="31">
        <f t="shared" si="1"/>
        <v>46.2</v>
      </c>
      <c r="N141" s="30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17">
        <v>40087.0</v>
      </c>
      <c r="B142" s="18">
        <v>48.9</v>
      </c>
      <c r="C142" s="18">
        <v>52.1</v>
      </c>
      <c r="D142" s="18">
        <v>50.6</v>
      </c>
      <c r="E142" s="18">
        <v>43.7</v>
      </c>
      <c r="F142" s="18">
        <v>49.0</v>
      </c>
      <c r="G142" s="18">
        <v>43.0</v>
      </c>
      <c r="H142" s="18">
        <v>62.6</v>
      </c>
      <c r="I142" s="18">
        <v>41.0</v>
      </c>
      <c r="J142" s="18">
        <v>54.0</v>
      </c>
      <c r="K142" s="18">
        <v>49.0</v>
      </c>
      <c r="L142" s="18">
        <v>67.5</v>
      </c>
      <c r="M142" s="31">
        <f t="shared" si="1"/>
        <v>54.06666667</v>
      </c>
      <c r="N142" s="30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17">
        <v>40118.0</v>
      </c>
      <c r="B143" s="18">
        <v>50.1</v>
      </c>
      <c r="C143" s="18">
        <v>53.5</v>
      </c>
      <c r="D143" s="18">
        <v>53.2</v>
      </c>
      <c r="E143" s="18">
        <v>43.6</v>
      </c>
      <c r="F143" s="18">
        <v>50.0</v>
      </c>
      <c r="G143" s="18">
        <v>47.5</v>
      </c>
      <c r="H143" s="18">
        <v>51.0</v>
      </c>
      <c r="I143" s="18">
        <v>51.5</v>
      </c>
      <c r="J143" s="18">
        <v>48.5</v>
      </c>
      <c r="K143" s="18">
        <v>51.5</v>
      </c>
      <c r="L143" s="18">
        <v>62.0</v>
      </c>
      <c r="M143" s="31">
        <f t="shared" si="1"/>
        <v>51.4</v>
      </c>
      <c r="N143" s="30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17">
        <v>40148.0</v>
      </c>
      <c r="B144" s="18">
        <v>50.2</v>
      </c>
      <c r="C144" s="18">
        <v>53.7</v>
      </c>
      <c r="D144" s="18">
        <v>53.9</v>
      </c>
      <c r="E144" s="18">
        <v>42.6</v>
      </c>
      <c r="F144" s="18">
        <v>50.5</v>
      </c>
      <c r="G144" s="18">
        <v>43.0</v>
      </c>
      <c r="H144" s="18">
        <v>52.1</v>
      </c>
      <c r="I144" s="18">
        <v>53.5</v>
      </c>
      <c r="J144" s="18">
        <v>53.5</v>
      </c>
      <c r="K144" s="18">
        <v>46.0</v>
      </c>
      <c r="L144" s="18">
        <v>63.5</v>
      </c>
      <c r="M144" s="31">
        <f t="shared" si="1"/>
        <v>52.16666667</v>
      </c>
      <c r="N144" s="30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17">
        <v>40179.0</v>
      </c>
      <c r="B145" s="18">
        <v>49.9</v>
      </c>
      <c r="C145" s="18">
        <v>52.6</v>
      </c>
      <c r="D145" s="18">
        <v>55.1</v>
      </c>
      <c r="E145" s="18">
        <v>43.2</v>
      </c>
      <c r="F145" s="18">
        <v>48.5</v>
      </c>
      <c r="G145" s="18">
        <v>45.5</v>
      </c>
      <c r="H145" s="18">
        <v>57.9</v>
      </c>
      <c r="I145" s="18">
        <v>48.5</v>
      </c>
      <c r="J145" s="18">
        <v>54.5</v>
      </c>
      <c r="K145" s="18">
        <v>46.0</v>
      </c>
      <c r="L145" s="18">
        <v>61.5</v>
      </c>
      <c r="M145" s="31">
        <f t="shared" si="1"/>
        <v>53.83333333</v>
      </c>
      <c r="N145" s="30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17">
        <v>40210.0</v>
      </c>
      <c r="B146" s="18">
        <v>49.9</v>
      </c>
      <c r="C146" s="18">
        <v>52.4</v>
      </c>
      <c r="D146" s="18">
        <v>51.7</v>
      </c>
      <c r="E146" s="18">
        <v>44.9</v>
      </c>
      <c r="F146" s="18">
        <v>50.5</v>
      </c>
      <c r="G146" s="18">
        <v>51.5</v>
      </c>
      <c r="H146" s="18">
        <v>59.9</v>
      </c>
      <c r="I146" s="18">
        <v>48.0</v>
      </c>
      <c r="J146" s="18">
        <v>46.0</v>
      </c>
      <c r="K146" s="18">
        <v>52.5</v>
      </c>
      <c r="L146" s="18">
        <v>61.0</v>
      </c>
      <c r="M146" s="31">
        <f t="shared" si="1"/>
        <v>54.03333333</v>
      </c>
      <c r="N146" s="30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17">
        <v>40238.0</v>
      </c>
      <c r="B147" s="18">
        <v>50.5</v>
      </c>
      <c r="C147" s="18">
        <v>52.2</v>
      </c>
      <c r="D147" s="18">
        <v>53.3</v>
      </c>
      <c r="E147" s="18">
        <v>46.1</v>
      </c>
      <c r="F147" s="18">
        <v>50.5</v>
      </c>
      <c r="G147" s="18">
        <v>46.5</v>
      </c>
      <c r="H147" s="18">
        <v>60.5</v>
      </c>
      <c r="I147" s="18">
        <v>45.5</v>
      </c>
      <c r="J147" s="18">
        <v>46.0</v>
      </c>
      <c r="K147" s="18">
        <v>47.0</v>
      </c>
      <c r="L147" s="18">
        <v>64.5</v>
      </c>
      <c r="M147" s="31">
        <f t="shared" si="1"/>
        <v>54.76666667</v>
      </c>
      <c r="N147" s="30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17">
        <v>40269.0</v>
      </c>
      <c r="B148" s="18">
        <v>52.3</v>
      </c>
      <c r="C148" s="18">
        <v>54.3</v>
      </c>
      <c r="D148" s="18">
        <v>53.6</v>
      </c>
      <c r="E148" s="18">
        <v>47.6</v>
      </c>
      <c r="F148" s="18">
        <v>53.5</v>
      </c>
      <c r="G148" s="18">
        <v>45.0</v>
      </c>
      <c r="H148" s="18">
        <v>57.7</v>
      </c>
      <c r="I148" s="18">
        <v>46.0</v>
      </c>
      <c r="J148" s="18">
        <v>47.0</v>
      </c>
      <c r="K148" s="18">
        <v>48.5</v>
      </c>
      <c r="L148" s="18">
        <v>60.0</v>
      </c>
      <c r="M148" s="31">
        <f t="shared" si="1"/>
        <v>54.93333333</v>
      </c>
      <c r="N148" s="30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17">
        <v>40299.0</v>
      </c>
      <c r="B149" s="18">
        <v>53.8</v>
      </c>
      <c r="C149" s="18">
        <v>57.8</v>
      </c>
      <c r="D149" s="18">
        <v>59.2</v>
      </c>
      <c r="E149" s="18">
        <v>48.6</v>
      </c>
      <c r="F149" s="18">
        <v>49.5</v>
      </c>
      <c r="G149" s="18">
        <v>46.5</v>
      </c>
      <c r="H149" s="18">
        <v>58.7</v>
      </c>
      <c r="I149" s="18">
        <v>55.5</v>
      </c>
      <c r="J149" s="18">
        <v>57.5</v>
      </c>
      <c r="K149" s="18">
        <v>51.0</v>
      </c>
      <c r="L149" s="18">
        <v>52.5</v>
      </c>
      <c r="M149" s="31">
        <f t="shared" si="1"/>
        <v>55.8</v>
      </c>
      <c r="N149" s="30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17">
        <v>40330.0</v>
      </c>
      <c r="B150" s="18">
        <v>54.8</v>
      </c>
      <c r="C150" s="18">
        <v>59.3</v>
      </c>
      <c r="D150" s="18">
        <v>57.6</v>
      </c>
      <c r="E150" s="18">
        <v>48.9</v>
      </c>
      <c r="F150" s="18">
        <v>53.5</v>
      </c>
      <c r="G150" s="18">
        <v>54.5</v>
      </c>
      <c r="H150" s="18">
        <v>62.0</v>
      </c>
      <c r="I150" s="18">
        <v>49.5</v>
      </c>
      <c r="J150" s="18">
        <v>57.0</v>
      </c>
      <c r="K150" s="18">
        <v>56.5</v>
      </c>
      <c r="L150" s="18">
        <v>53.5</v>
      </c>
      <c r="M150" s="31">
        <f t="shared" si="1"/>
        <v>57.7</v>
      </c>
      <c r="N150" s="30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17">
        <v>40360.0</v>
      </c>
      <c r="B151" s="18">
        <v>55.2</v>
      </c>
      <c r="C151" s="18">
        <v>60.7</v>
      </c>
      <c r="D151" s="18">
        <v>57.8</v>
      </c>
      <c r="E151" s="18">
        <v>49.1</v>
      </c>
      <c r="F151" s="18">
        <v>53.0</v>
      </c>
      <c r="G151" s="18">
        <v>62.5</v>
      </c>
      <c r="H151" s="18">
        <v>58.9</v>
      </c>
      <c r="I151" s="18">
        <v>56.0</v>
      </c>
      <c r="J151" s="18">
        <v>53.5</v>
      </c>
      <c r="K151" s="18">
        <v>56.5</v>
      </c>
      <c r="L151" s="18">
        <v>60.5</v>
      </c>
      <c r="M151" s="31">
        <f t="shared" si="1"/>
        <v>56.56666667</v>
      </c>
      <c r="N151" s="30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17">
        <v>40391.0</v>
      </c>
      <c r="B152" s="18">
        <v>54.0</v>
      </c>
      <c r="C152" s="18">
        <v>58.9</v>
      </c>
      <c r="D152" s="18">
        <v>55.6</v>
      </c>
      <c r="E152" s="18">
        <v>48.6</v>
      </c>
      <c r="F152" s="18">
        <v>53.0</v>
      </c>
      <c r="G152" s="18">
        <v>58.5</v>
      </c>
      <c r="H152" s="18">
        <v>56.1</v>
      </c>
      <c r="I152" s="18">
        <v>55.5</v>
      </c>
      <c r="J152" s="18">
        <v>48.0</v>
      </c>
      <c r="K152" s="18">
        <v>48.0</v>
      </c>
      <c r="L152" s="18">
        <v>59.0</v>
      </c>
      <c r="M152" s="31">
        <f t="shared" si="1"/>
        <v>54.9</v>
      </c>
      <c r="N152" s="30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17">
        <v>40422.0</v>
      </c>
      <c r="B153" s="18">
        <v>54.5</v>
      </c>
      <c r="C153" s="18">
        <v>57.8</v>
      </c>
      <c r="D153" s="18">
        <v>57.7</v>
      </c>
      <c r="E153" s="18">
        <v>50.4</v>
      </c>
      <c r="F153" s="18">
        <v>52.0</v>
      </c>
      <c r="G153" s="18">
        <v>55.5</v>
      </c>
      <c r="H153" s="18">
        <v>56.1</v>
      </c>
      <c r="I153" s="18">
        <v>52.0</v>
      </c>
      <c r="J153" s="18">
        <v>52.0</v>
      </c>
      <c r="K153" s="18">
        <v>48.0</v>
      </c>
      <c r="L153" s="18">
        <v>59.0</v>
      </c>
      <c r="M153" s="31">
        <f t="shared" si="1"/>
        <v>55.26666667</v>
      </c>
      <c r="N153" s="30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17">
        <v>40452.0</v>
      </c>
      <c r="B154" s="18">
        <v>52.4</v>
      </c>
      <c r="C154" s="18">
        <v>55.6</v>
      </c>
      <c r="D154" s="18">
        <v>54.0</v>
      </c>
      <c r="E154" s="18">
        <v>49.0</v>
      </c>
      <c r="F154" s="18">
        <v>51.0</v>
      </c>
      <c r="G154" s="18">
        <v>53.5</v>
      </c>
      <c r="H154" s="18">
        <v>58.7</v>
      </c>
      <c r="I154" s="18">
        <v>50.5</v>
      </c>
      <c r="J154" s="18">
        <v>46.5</v>
      </c>
      <c r="K154" s="18">
        <v>50.5</v>
      </c>
      <c r="L154" s="18">
        <v>60.0</v>
      </c>
      <c r="M154" s="31">
        <f t="shared" si="1"/>
        <v>54.56666667</v>
      </c>
      <c r="N154" s="30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17">
        <v>40483.0</v>
      </c>
      <c r="B155" s="18">
        <v>53.5</v>
      </c>
      <c r="C155" s="18">
        <v>53.3</v>
      </c>
      <c r="D155" s="18">
        <v>55.2</v>
      </c>
      <c r="E155" s="18">
        <v>50.5</v>
      </c>
      <c r="F155" s="18">
        <v>55.0</v>
      </c>
      <c r="G155" s="18">
        <v>47.0</v>
      </c>
      <c r="H155" s="18">
        <v>64.0</v>
      </c>
      <c r="I155" s="18">
        <v>48.0</v>
      </c>
      <c r="J155" s="18">
        <v>58.0</v>
      </c>
      <c r="K155" s="18">
        <v>53.0</v>
      </c>
      <c r="L155" s="18">
        <v>59.5</v>
      </c>
      <c r="M155" s="31">
        <f t="shared" si="1"/>
        <v>58.06666667</v>
      </c>
      <c r="N155" s="30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17">
        <v>40513.0</v>
      </c>
      <c r="B156" s="18">
        <v>55.0</v>
      </c>
      <c r="C156" s="18">
        <v>59.2</v>
      </c>
      <c r="D156" s="18">
        <v>57.8</v>
      </c>
      <c r="E156" s="18">
        <v>51.8</v>
      </c>
      <c r="F156" s="18">
        <v>51.0</v>
      </c>
      <c r="G156" s="18">
        <v>47.5</v>
      </c>
      <c r="H156" s="18">
        <v>71.7</v>
      </c>
      <c r="I156" s="18">
        <v>52.0</v>
      </c>
      <c r="J156" s="18">
        <v>55.5</v>
      </c>
      <c r="K156" s="18">
        <v>54.0</v>
      </c>
      <c r="L156" s="18">
        <v>61.5</v>
      </c>
      <c r="M156" s="31">
        <f t="shared" si="1"/>
        <v>60.16666667</v>
      </c>
      <c r="N156" s="30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17">
        <v>40544.0</v>
      </c>
      <c r="B157" s="18">
        <v>55.9</v>
      </c>
      <c r="C157" s="18">
        <v>58.8</v>
      </c>
      <c r="D157" s="18">
        <v>58.6</v>
      </c>
      <c r="E157" s="18">
        <v>53.8</v>
      </c>
      <c r="F157" s="18">
        <v>52.5</v>
      </c>
      <c r="G157" s="18">
        <v>51.5</v>
      </c>
      <c r="H157" s="18">
        <v>64.7</v>
      </c>
      <c r="I157" s="18">
        <v>51.5</v>
      </c>
      <c r="J157" s="18">
        <v>59.5</v>
      </c>
      <c r="K157" s="18">
        <v>54.5</v>
      </c>
      <c r="L157" s="18">
        <v>60.0</v>
      </c>
      <c r="M157" s="31">
        <f t="shared" si="1"/>
        <v>58.6</v>
      </c>
      <c r="N157" s="30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17">
        <v>40575.0</v>
      </c>
      <c r="B158" s="18">
        <v>57.1</v>
      </c>
      <c r="C158" s="18">
        <v>62.9</v>
      </c>
      <c r="D158" s="18">
        <v>62.0</v>
      </c>
      <c r="E158" s="18">
        <v>52.0</v>
      </c>
      <c r="F158" s="18">
        <v>51.5</v>
      </c>
      <c r="G158" s="18">
        <v>52.5</v>
      </c>
      <c r="H158" s="18">
        <v>68.7</v>
      </c>
      <c r="I158" s="18">
        <v>48.5</v>
      </c>
      <c r="J158" s="18">
        <v>56.0</v>
      </c>
      <c r="K158" s="18">
        <v>51.0</v>
      </c>
      <c r="L158" s="18">
        <v>61.5</v>
      </c>
      <c r="M158" s="31">
        <f t="shared" si="1"/>
        <v>60.73333333</v>
      </c>
      <c r="N158" s="30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17">
        <v>40603.0</v>
      </c>
      <c r="B159" s="18">
        <v>57.7</v>
      </c>
      <c r="C159" s="18">
        <v>61.7</v>
      </c>
      <c r="D159" s="18">
        <v>61.9</v>
      </c>
      <c r="E159" s="18">
        <v>53.5</v>
      </c>
      <c r="F159" s="18">
        <v>53.5</v>
      </c>
      <c r="G159" s="18">
        <v>49.0</v>
      </c>
      <c r="H159" s="18">
        <v>70.8</v>
      </c>
      <c r="I159" s="18">
        <v>50.5</v>
      </c>
      <c r="J159" s="18">
        <v>53.5</v>
      </c>
      <c r="K159" s="18">
        <v>53.5</v>
      </c>
      <c r="L159" s="18">
        <v>60.0</v>
      </c>
      <c r="M159" s="31">
        <f t="shared" si="1"/>
        <v>62.06666667</v>
      </c>
      <c r="N159" s="30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17">
        <v>40634.0</v>
      </c>
      <c r="B160" s="18">
        <v>58.1</v>
      </c>
      <c r="C160" s="18">
        <v>63.5</v>
      </c>
      <c r="D160" s="18">
        <v>61.7</v>
      </c>
      <c r="E160" s="18">
        <v>55.2</v>
      </c>
      <c r="F160" s="18">
        <v>52.0</v>
      </c>
      <c r="G160" s="18">
        <v>55.5</v>
      </c>
      <c r="H160" s="18">
        <v>71.0</v>
      </c>
      <c r="I160" s="18">
        <v>52.0</v>
      </c>
      <c r="J160" s="18">
        <v>56.5</v>
      </c>
      <c r="K160" s="18">
        <v>53.5</v>
      </c>
      <c r="L160" s="18">
        <v>57.5</v>
      </c>
      <c r="M160" s="31">
        <f t="shared" si="1"/>
        <v>61.56666667</v>
      </c>
      <c r="N160" s="30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17">
        <v>40664.0</v>
      </c>
      <c r="B161" s="18">
        <v>55.4</v>
      </c>
      <c r="C161" s="18">
        <v>58.0</v>
      </c>
      <c r="D161" s="18">
        <v>58.9</v>
      </c>
      <c r="E161" s="18">
        <v>53.3</v>
      </c>
      <c r="F161" s="18">
        <v>51.5</v>
      </c>
      <c r="G161" s="18">
        <v>55.5</v>
      </c>
      <c r="H161" s="18">
        <v>69.5</v>
      </c>
      <c r="I161" s="18">
        <v>56.0</v>
      </c>
      <c r="J161" s="18">
        <v>59.0</v>
      </c>
      <c r="K161" s="18">
        <v>50.0</v>
      </c>
      <c r="L161" s="18">
        <v>67.0</v>
      </c>
      <c r="M161" s="31">
        <f t="shared" si="1"/>
        <v>59.96666667</v>
      </c>
      <c r="N161" s="30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17">
        <v>40695.0</v>
      </c>
      <c r="B162" s="18">
        <v>54.5</v>
      </c>
      <c r="C162" s="18">
        <v>56.4</v>
      </c>
      <c r="D162" s="18">
        <v>55.7</v>
      </c>
      <c r="E162" s="18">
        <v>52.9</v>
      </c>
      <c r="F162" s="18">
        <v>53.0</v>
      </c>
      <c r="G162" s="18">
        <v>55.5</v>
      </c>
      <c r="H162" s="18">
        <v>71.0</v>
      </c>
      <c r="I162" s="18">
        <v>55.5</v>
      </c>
      <c r="J162" s="18">
        <v>53.5</v>
      </c>
      <c r="K162" s="18">
        <v>57.0</v>
      </c>
      <c r="L162" s="18">
        <v>57.5</v>
      </c>
      <c r="M162" s="31">
        <f t="shared" si="1"/>
        <v>59.9</v>
      </c>
      <c r="N162" s="30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17">
        <v>40725.0</v>
      </c>
      <c r="B163" s="18">
        <v>54.7</v>
      </c>
      <c r="C163" s="18">
        <v>54.7</v>
      </c>
      <c r="D163" s="18">
        <v>56.0</v>
      </c>
      <c r="E163" s="18">
        <v>54.1</v>
      </c>
      <c r="F163" s="18">
        <v>54.0</v>
      </c>
      <c r="G163" s="18">
        <v>55.0</v>
      </c>
      <c r="H163" s="18">
        <v>69.1</v>
      </c>
      <c r="I163" s="18">
        <v>55.0</v>
      </c>
      <c r="J163" s="18">
        <v>57.0</v>
      </c>
      <c r="K163" s="18">
        <v>50.5</v>
      </c>
      <c r="L163" s="18">
        <v>55.0</v>
      </c>
      <c r="M163" s="31">
        <f t="shared" si="1"/>
        <v>59.7</v>
      </c>
      <c r="N163" s="30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17">
        <v>40756.0</v>
      </c>
      <c r="B164" s="18">
        <v>53.8</v>
      </c>
      <c r="C164" s="18">
        <v>55.1</v>
      </c>
      <c r="D164" s="18">
        <v>54.9</v>
      </c>
      <c r="E164" s="18">
        <v>53.1</v>
      </c>
      <c r="F164" s="18">
        <v>52.0</v>
      </c>
      <c r="G164" s="18">
        <v>53.5</v>
      </c>
      <c r="H164" s="18">
        <v>64.0</v>
      </c>
      <c r="I164" s="18">
        <v>48.5</v>
      </c>
      <c r="J164" s="18">
        <v>57.0</v>
      </c>
      <c r="K164" s="18">
        <v>46.5</v>
      </c>
      <c r="L164" s="18">
        <v>58.5</v>
      </c>
      <c r="M164" s="31">
        <f t="shared" si="1"/>
        <v>56.96666667</v>
      </c>
      <c r="N164" s="30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17">
        <v>40787.0</v>
      </c>
      <c r="B165" s="18">
        <v>53.7</v>
      </c>
      <c r="C165" s="18">
        <v>57.0</v>
      </c>
      <c r="D165" s="18">
        <v>54.0</v>
      </c>
      <c r="E165" s="18">
        <v>53.2</v>
      </c>
      <c r="F165" s="18">
        <v>50.5</v>
      </c>
      <c r="G165" s="18">
        <v>56.5</v>
      </c>
      <c r="H165" s="18">
        <v>62.8</v>
      </c>
      <c r="I165" s="18">
        <v>44.0</v>
      </c>
      <c r="J165" s="18">
        <v>49.0</v>
      </c>
      <c r="K165" s="18">
        <v>47.5</v>
      </c>
      <c r="L165" s="18">
        <v>59.5</v>
      </c>
      <c r="M165" s="31">
        <f t="shared" si="1"/>
        <v>55.76666667</v>
      </c>
      <c r="N165" s="30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17">
        <v>40817.0</v>
      </c>
      <c r="B166" s="18">
        <v>54.4</v>
      </c>
      <c r="C166" s="18">
        <v>57.1</v>
      </c>
      <c r="D166" s="18">
        <v>55.2</v>
      </c>
      <c r="E166" s="18">
        <v>52.3</v>
      </c>
      <c r="F166" s="18">
        <v>53.0</v>
      </c>
      <c r="G166" s="18">
        <v>53.5</v>
      </c>
      <c r="H166" s="18">
        <v>62.0</v>
      </c>
      <c r="I166" s="18">
        <v>47.5</v>
      </c>
      <c r="J166" s="18">
        <v>56.5</v>
      </c>
      <c r="K166" s="18">
        <v>53.5</v>
      </c>
      <c r="L166" s="18">
        <v>56.0</v>
      </c>
      <c r="M166" s="31">
        <f t="shared" si="1"/>
        <v>56.73333333</v>
      </c>
      <c r="N166" s="30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17">
        <v>40848.0</v>
      </c>
      <c r="B167" s="18">
        <v>52.8</v>
      </c>
      <c r="C167" s="18">
        <v>56.6</v>
      </c>
      <c r="D167" s="18">
        <v>56.2</v>
      </c>
      <c r="E167" s="18">
        <v>48.7</v>
      </c>
      <c r="F167" s="18">
        <v>49.5</v>
      </c>
      <c r="G167" s="18">
        <v>51.5</v>
      </c>
      <c r="H167" s="18">
        <v>60.8</v>
      </c>
      <c r="I167" s="18">
        <v>52.5</v>
      </c>
      <c r="J167" s="18">
        <v>52.0</v>
      </c>
      <c r="K167" s="18">
        <v>47.5</v>
      </c>
      <c r="L167" s="18">
        <v>59.0</v>
      </c>
      <c r="M167" s="31">
        <f t="shared" si="1"/>
        <v>55.5</v>
      </c>
      <c r="N167" s="30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17">
        <v>40878.0</v>
      </c>
      <c r="B168" s="18">
        <v>53.1</v>
      </c>
      <c r="C168" s="18">
        <v>54.3</v>
      </c>
      <c r="D168" s="18">
        <v>53.7</v>
      </c>
      <c r="E168" s="18">
        <v>52.3</v>
      </c>
      <c r="F168" s="18">
        <v>52.0</v>
      </c>
      <c r="G168" s="18">
        <v>45.5</v>
      </c>
      <c r="H168" s="18">
        <v>56.8</v>
      </c>
      <c r="I168" s="18">
        <v>47.0</v>
      </c>
      <c r="J168" s="18">
        <v>54.0</v>
      </c>
      <c r="K168" s="18">
        <v>48.0</v>
      </c>
      <c r="L168" s="18">
        <v>57.5</v>
      </c>
      <c r="M168" s="31">
        <f t="shared" si="1"/>
        <v>54.16666667</v>
      </c>
      <c r="N168" s="30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17">
        <v>40909.0</v>
      </c>
      <c r="B169" s="18">
        <v>52.8</v>
      </c>
      <c r="C169" s="18">
        <v>56.0</v>
      </c>
      <c r="D169" s="18">
        <v>54.0</v>
      </c>
      <c r="E169" s="18">
        <v>51.1</v>
      </c>
      <c r="F169" s="18">
        <v>50.0</v>
      </c>
      <c r="G169" s="18">
        <v>52.5</v>
      </c>
      <c r="H169" s="18">
        <v>62.2</v>
      </c>
      <c r="I169" s="18">
        <v>48.0</v>
      </c>
      <c r="J169" s="18">
        <v>55.5</v>
      </c>
      <c r="K169" s="18">
        <v>48.5</v>
      </c>
      <c r="L169" s="18">
        <v>63.0</v>
      </c>
      <c r="M169" s="31">
        <f t="shared" si="1"/>
        <v>55.4</v>
      </c>
      <c r="N169" s="30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17">
        <v>40940.0</v>
      </c>
      <c r="B170" s="18">
        <v>52.7</v>
      </c>
      <c r="C170" s="18">
        <v>56.3</v>
      </c>
      <c r="D170" s="18">
        <v>53.9</v>
      </c>
      <c r="E170" s="18">
        <v>49.1</v>
      </c>
      <c r="F170" s="18">
        <v>51.5</v>
      </c>
      <c r="G170" s="18">
        <v>48.5</v>
      </c>
      <c r="H170" s="18">
        <v>61.4</v>
      </c>
      <c r="I170" s="18">
        <v>45.5</v>
      </c>
      <c r="J170" s="18">
        <v>51.0</v>
      </c>
      <c r="K170" s="18">
        <v>54.0</v>
      </c>
      <c r="L170" s="18">
        <v>59.5</v>
      </c>
      <c r="M170" s="31">
        <f t="shared" si="1"/>
        <v>55.6</v>
      </c>
      <c r="N170" s="30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17">
        <v>40969.0</v>
      </c>
      <c r="B171" s="18">
        <v>55.6</v>
      </c>
      <c r="C171" s="18">
        <v>58.7</v>
      </c>
      <c r="D171" s="18">
        <v>57.8</v>
      </c>
      <c r="E171" s="18">
        <v>54.9</v>
      </c>
      <c r="F171" s="18">
        <v>51.0</v>
      </c>
      <c r="G171" s="18">
        <v>47.0</v>
      </c>
      <c r="H171" s="18">
        <v>61.2</v>
      </c>
      <c r="I171" s="18">
        <v>49.5</v>
      </c>
      <c r="J171" s="18">
        <v>56.5</v>
      </c>
      <c r="K171" s="18">
        <v>55.0</v>
      </c>
      <c r="L171" s="18">
        <v>58.5</v>
      </c>
      <c r="M171" s="31">
        <f t="shared" si="1"/>
        <v>56.66666667</v>
      </c>
      <c r="N171" s="30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17">
        <v>41000.0</v>
      </c>
      <c r="B172" s="18">
        <v>54.9</v>
      </c>
      <c r="C172" s="18">
        <v>59.9</v>
      </c>
      <c r="D172" s="18">
        <v>57.0</v>
      </c>
      <c r="E172" s="18">
        <v>53.2</v>
      </c>
      <c r="F172" s="18">
        <v>49.5</v>
      </c>
      <c r="G172" s="18">
        <v>53.5</v>
      </c>
      <c r="H172" s="18">
        <v>63.9</v>
      </c>
      <c r="I172" s="18">
        <v>53.0</v>
      </c>
      <c r="J172" s="18">
        <v>54.5</v>
      </c>
      <c r="K172" s="18">
        <v>52.0</v>
      </c>
      <c r="L172" s="18">
        <v>61.5</v>
      </c>
      <c r="M172" s="31">
        <f t="shared" si="1"/>
        <v>56.8</v>
      </c>
      <c r="N172" s="30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17">
        <v>41030.0</v>
      </c>
      <c r="B173" s="18">
        <v>55.1</v>
      </c>
      <c r="C173" s="18">
        <v>58.5</v>
      </c>
      <c r="D173" s="18">
        <v>57.1</v>
      </c>
      <c r="E173" s="18">
        <v>55.2</v>
      </c>
      <c r="F173" s="18">
        <v>49.5</v>
      </c>
      <c r="G173" s="18">
        <v>54.0</v>
      </c>
      <c r="H173" s="18">
        <v>65.0</v>
      </c>
      <c r="I173" s="18">
        <v>49.5</v>
      </c>
      <c r="J173" s="18">
        <v>52.5</v>
      </c>
      <c r="K173" s="18">
        <v>56.0</v>
      </c>
      <c r="L173" s="18">
        <v>58.5</v>
      </c>
      <c r="M173" s="31">
        <f t="shared" si="1"/>
        <v>57.2</v>
      </c>
      <c r="N173" s="30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17">
        <v>41061.0</v>
      </c>
      <c r="B174" s="18">
        <v>54.5</v>
      </c>
      <c r="C174" s="18">
        <v>56.0</v>
      </c>
      <c r="D174" s="18">
        <v>55.8</v>
      </c>
      <c r="E174" s="18">
        <v>54.5</v>
      </c>
      <c r="F174" s="18">
        <v>51.5</v>
      </c>
      <c r="G174" s="18">
        <v>54.0</v>
      </c>
      <c r="H174" s="18">
        <v>56.9</v>
      </c>
      <c r="I174" s="18">
        <v>53.0</v>
      </c>
      <c r="J174" s="18">
        <v>58.0</v>
      </c>
      <c r="K174" s="18">
        <v>56.5</v>
      </c>
      <c r="L174" s="18">
        <v>61.0</v>
      </c>
      <c r="M174" s="31">
        <f t="shared" si="1"/>
        <v>54.73333333</v>
      </c>
      <c r="N174" s="30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17">
        <v>41091.0</v>
      </c>
      <c r="B175" s="18">
        <v>54.4</v>
      </c>
      <c r="C175" s="18">
        <v>56.4</v>
      </c>
      <c r="D175" s="18">
        <v>56.1</v>
      </c>
      <c r="E175" s="18">
        <v>51.9</v>
      </c>
      <c r="F175" s="18">
        <v>53.0</v>
      </c>
      <c r="G175" s="18">
        <v>56.0</v>
      </c>
      <c r="H175" s="18">
        <v>53.8</v>
      </c>
      <c r="I175" s="18">
        <v>53.0</v>
      </c>
      <c r="J175" s="18">
        <v>53.0</v>
      </c>
      <c r="K175" s="18">
        <v>53.0</v>
      </c>
      <c r="L175" s="18">
        <v>63.0</v>
      </c>
      <c r="M175" s="31">
        <f t="shared" si="1"/>
        <v>54.3</v>
      </c>
      <c r="N175" s="30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17">
        <v>41122.0</v>
      </c>
      <c r="B176" s="18">
        <v>53.3</v>
      </c>
      <c r="C176" s="18">
        <v>53.6</v>
      </c>
      <c r="D176" s="18">
        <v>55.9</v>
      </c>
      <c r="E176" s="18">
        <v>52.5</v>
      </c>
      <c r="F176" s="18">
        <v>51.0</v>
      </c>
      <c r="G176" s="18">
        <v>53.0</v>
      </c>
      <c r="H176" s="18">
        <v>51.0</v>
      </c>
      <c r="I176" s="18">
        <v>47.5</v>
      </c>
      <c r="J176" s="18">
        <v>49.5</v>
      </c>
      <c r="K176" s="18">
        <v>53.5</v>
      </c>
      <c r="L176" s="18">
        <v>64.5</v>
      </c>
      <c r="M176" s="31">
        <f t="shared" si="1"/>
        <v>52.63333333</v>
      </c>
      <c r="N176" s="30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17">
        <v>41153.0</v>
      </c>
      <c r="B177" s="18">
        <v>52.9</v>
      </c>
      <c r="C177" s="18">
        <v>56.2</v>
      </c>
      <c r="D177" s="18">
        <v>55.6</v>
      </c>
      <c r="E177" s="18">
        <v>50.3</v>
      </c>
      <c r="F177" s="18">
        <v>49.5</v>
      </c>
      <c r="G177" s="18">
        <v>54.5</v>
      </c>
      <c r="H177" s="18">
        <v>56.5</v>
      </c>
      <c r="I177" s="18">
        <v>44.5</v>
      </c>
      <c r="J177" s="18">
        <v>51.0</v>
      </c>
      <c r="K177" s="18">
        <v>44.5</v>
      </c>
      <c r="L177" s="18">
        <v>59.0</v>
      </c>
      <c r="M177" s="31">
        <f t="shared" si="1"/>
        <v>53.86666667</v>
      </c>
      <c r="N177" s="30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17">
        <v>41183.0</v>
      </c>
      <c r="B178" s="18">
        <v>53.8</v>
      </c>
      <c r="C178" s="18">
        <v>55.3</v>
      </c>
      <c r="D178" s="18">
        <v>55.0</v>
      </c>
      <c r="E178" s="18">
        <v>53.3</v>
      </c>
      <c r="F178" s="18">
        <v>51.5</v>
      </c>
      <c r="G178" s="18">
        <v>52.5</v>
      </c>
      <c r="H178" s="18">
        <v>62.1</v>
      </c>
      <c r="I178" s="18">
        <v>50.5</v>
      </c>
      <c r="J178" s="18">
        <v>52.0</v>
      </c>
      <c r="K178" s="18">
        <v>49.5</v>
      </c>
      <c r="L178" s="18">
        <v>67.0</v>
      </c>
      <c r="M178" s="31">
        <f t="shared" si="1"/>
        <v>56.2</v>
      </c>
      <c r="N178" s="30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17">
        <v>41214.0</v>
      </c>
      <c r="B179" s="18">
        <v>55.3</v>
      </c>
      <c r="C179" s="18">
        <v>60.2</v>
      </c>
      <c r="D179" s="18">
        <v>56.3</v>
      </c>
      <c r="E179" s="18">
        <v>53.2</v>
      </c>
      <c r="F179" s="18">
        <v>51.5</v>
      </c>
      <c r="G179" s="18">
        <v>48.5</v>
      </c>
      <c r="H179" s="18">
        <v>66.1</v>
      </c>
      <c r="I179" s="18">
        <v>48.0</v>
      </c>
      <c r="J179" s="18">
        <v>50.5</v>
      </c>
      <c r="K179" s="18">
        <v>50.0</v>
      </c>
      <c r="L179" s="18">
        <v>65.0</v>
      </c>
      <c r="M179" s="31">
        <f t="shared" si="1"/>
        <v>57.96666667</v>
      </c>
      <c r="N179" s="30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17">
        <v>41244.0</v>
      </c>
      <c r="B180" s="18">
        <v>54.5</v>
      </c>
      <c r="C180" s="18">
        <v>56.1</v>
      </c>
      <c r="D180" s="18">
        <v>55.7</v>
      </c>
      <c r="E180" s="18">
        <v>54.7</v>
      </c>
      <c r="F180" s="18">
        <v>51.5</v>
      </c>
      <c r="G180" s="18">
        <v>46.5</v>
      </c>
      <c r="H180" s="18">
        <v>61.4</v>
      </c>
      <c r="I180" s="18">
        <v>49.0</v>
      </c>
      <c r="J180" s="18">
        <v>47.5</v>
      </c>
      <c r="K180" s="18">
        <v>49.5</v>
      </c>
      <c r="L180" s="18">
        <v>64.0</v>
      </c>
      <c r="M180" s="31">
        <f t="shared" si="1"/>
        <v>56.2</v>
      </c>
      <c r="N180" s="30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17">
        <v>41275.0</v>
      </c>
      <c r="B181" s="18">
        <v>55.1</v>
      </c>
      <c r="C181" s="18">
        <v>60.9</v>
      </c>
      <c r="D181" s="18">
        <v>57.3</v>
      </c>
      <c r="E181" s="18">
        <v>53.3</v>
      </c>
      <c r="F181" s="18">
        <v>49.0</v>
      </c>
      <c r="G181" s="18">
        <v>47.0</v>
      </c>
      <c r="H181" s="18">
        <v>57.5</v>
      </c>
      <c r="I181" s="18">
        <v>53.5</v>
      </c>
      <c r="J181" s="18">
        <v>48.0</v>
      </c>
      <c r="K181" s="18">
        <v>55.5</v>
      </c>
      <c r="L181" s="18">
        <v>62.5</v>
      </c>
      <c r="M181" s="31">
        <f t="shared" si="1"/>
        <v>54.6</v>
      </c>
      <c r="N181" s="30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17">
        <v>41306.0</v>
      </c>
      <c r="B182" s="18">
        <v>55.7</v>
      </c>
      <c r="C182" s="18">
        <v>60.0</v>
      </c>
      <c r="D182" s="18">
        <v>59.1</v>
      </c>
      <c r="E182" s="18">
        <v>55.2</v>
      </c>
      <c r="F182" s="18">
        <v>48.5</v>
      </c>
      <c r="G182" s="18">
        <v>50.0</v>
      </c>
      <c r="H182" s="18">
        <v>55.7</v>
      </c>
      <c r="I182" s="18">
        <v>49.5</v>
      </c>
      <c r="J182" s="18">
        <v>49.5</v>
      </c>
      <c r="K182" s="18">
        <v>49.0</v>
      </c>
      <c r="L182" s="18">
        <v>58.0</v>
      </c>
      <c r="M182" s="31">
        <f t="shared" si="1"/>
        <v>54.43333333</v>
      </c>
      <c r="N182" s="30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17">
        <v>41334.0</v>
      </c>
      <c r="B183" s="18">
        <v>54.9</v>
      </c>
      <c r="C183" s="18">
        <v>56.4</v>
      </c>
      <c r="D183" s="18">
        <v>55.0</v>
      </c>
      <c r="E183" s="18">
        <v>55.6</v>
      </c>
      <c r="F183" s="18">
        <v>52.5</v>
      </c>
      <c r="G183" s="18">
        <v>47.0</v>
      </c>
      <c r="H183" s="18">
        <v>57.1</v>
      </c>
      <c r="I183" s="18">
        <v>49.0</v>
      </c>
      <c r="J183" s="18">
        <v>55.5</v>
      </c>
      <c r="K183" s="18">
        <v>51.0</v>
      </c>
      <c r="L183" s="18">
        <v>64.0</v>
      </c>
      <c r="M183" s="31">
        <f t="shared" si="1"/>
        <v>54.86666667</v>
      </c>
      <c r="N183" s="30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17">
        <v>41365.0</v>
      </c>
      <c r="B184" s="18">
        <v>54.8</v>
      </c>
      <c r="C184" s="18">
        <v>56.3</v>
      </c>
      <c r="D184" s="18">
        <v>56.0</v>
      </c>
      <c r="E184" s="18">
        <v>55.5</v>
      </c>
      <c r="F184" s="18">
        <v>51.5</v>
      </c>
      <c r="G184" s="18">
        <v>54.0</v>
      </c>
      <c r="H184" s="18">
        <v>57.4</v>
      </c>
      <c r="I184" s="18">
        <v>54.5</v>
      </c>
      <c r="J184" s="18">
        <v>60.5</v>
      </c>
      <c r="K184" s="18">
        <v>52.5</v>
      </c>
      <c r="L184" s="18">
        <v>62.5</v>
      </c>
      <c r="M184" s="31">
        <f t="shared" si="1"/>
        <v>54.96666667</v>
      </c>
      <c r="N184" s="30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17">
        <v>41395.0</v>
      </c>
      <c r="B185" s="18">
        <v>54.5</v>
      </c>
      <c r="C185" s="18">
        <v>56.6</v>
      </c>
      <c r="D185" s="18">
        <v>55.2</v>
      </c>
      <c r="E185" s="18">
        <v>53.2</v>
      </c>
      <c r="F185" s="18">
        <v>53.0</v>
      </c>
      <c r="G185" s="18">
        <v>51.5</v>
      </c>
      <c r="H185" s="18">
        <v>56.4</v>
      </c>
      <c r="I185" s="18">
        <v>54.5</v>
      </c>
      <c r="J185" s="18">
        <v>56.5</v>
      </c>
      <c r="K185" s="18">
        <v>57.5</v>
      </c>
      <c r="L185" s="18">
        <v>59.5</v>
      </c>
      <c r="M185" s="31">
        <f t="shared" si="1"/>
        <v>54.86666667</v>
      </c>
      <c r="N185" s="30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17">
        <v>41426.0</v>
      </c>
      <c r="B186" s="18">
        <v>53.8</v>
      </c>
      <c r="C186" s="18">
        <v>55.9</v>
      </c>
      <c r="D186" s="18">
        <v>55.7</v>
      </c>
      <c r="E186" s="18">
        <v>52.6</v>
      </c>
      <c r="F186" s="18">
        <v>51.0</v>
      </c>
      <c r="G186" s="18">
        <v>56.0</v>
      </c>
      <c r="H186" s="18">
        <v>53.0</v>
      </c>
      <c r="I186" s="18">
        <v>51.5</v>
      </c>
      <c r="J186" s="18">
        <v>53.5</v>
      </c>
      <c r="K186" s="18">
        <v>58.5</v>
      </c>
      <c r="L186" s="18">
        <v>60.5</v>
      </c>
      <c r="M186" s="31">
        <f t="shared" si="1"/>
        <v>53.23333333</v>
      </c>
      <c r="N186" s="30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17">
        <v>41456.0</v>
      </c>
      <c r="B187" s="18">
        <v>54.0</v>
      </c>
      <c r="C187" s="18">
        <v>57.0</v>
      </c>
      <c r="D187" s="18">
        <v>56.6</v>
      </c>
      <c r="E187" s="18">
        <v>50.3</v>
      </c>
      <c r="F187" s="18">
        <v>52.0</v>
      </c>
      <c r="G187" s="18">
        <v>51.5</v>
      </c>
      <c r="H187" s="18">
        <v>54.4</v>
      </c>
      <c r="I187" s="18">
        <v>51.5</v>
      </c>
      <c r="J187" s="18">
        <v>50.0</v>
      </c>
      <c r="K187" s="18">
        <v>49.5</v>
      </c>
      <c r="L187" s="18">
        <v>62.5</v>
      </c>
      <c r="M187" s="31">
        <f t="shared" si="1"/>
        <v>54.33333333</v>
      </c>
      <c r="N187" s="30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17">
        <v>41487.0</v>
      </c>
      <c r="B188" s="18">
        <v>53.4</v>
      </c>
      <c r="C188" s="18">
        <v>53.3</v>
      </c>
      <c r="D188" s="18">
        <v>54.0</v>
      </c>
      <c r="E188" s="18">
        <v>54.9</v>
      </c>
      <c r="F188" s="18">
        <v>51.5</v>
      </c>
      <c r="G188" s="18">
        <v>54.5</v>
      </c>
      <c r="H188" s="18">
        <v>56.5</v>
      </c>
      <c r="I188" s="18">
        <v>52.0</v>
      </c>
      <c r="J188" s="18">
        <v>47.5</v>
      </c>
      <c r="K188" s="18">
        <v>53.5</v>
      </c>
      <c r="L188" s="18">
        <v>61.5</v>
      </c>
      <c r="M188" s="31">
        <f t="shared" si="1"/>
        <v>54</v>
      </c>
      <c r="N188" s="30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17">
        <v>41518.0</v>
      </c>
      <c r="B189" s="18">
        <v>55.9</v>
      </c>
      <c r="C189" s="18">
        <v>59.5</v>
      </c>
      <c r="D189" s="18">
        <v>57.7</v>
      </c>
      <c r="E189" s="18">
        <v>53.9</v>
      </c>
      <c r="F189" s="18">
        <v>52.5</v>
      </c>
      <c r="G189" s="18">
        <v>53.5</v>
      </c>
      <c r="H189" s="18">
        <v>58.3</v>
      </c>
      <c r="I189" s="18">
        <v>46.5</v>
      </c>
      <c r="J189" s="18">
        <v>49.5</v>
      </c>
      <c r="K189" s="18">
        <v>50.5</v>
      </c>
      <c r="L189" s="18">
        <v>64.0</v>
      </c>
      <c r="M189" s="31">
        <f t="shared" si="1"/>
        <v>56.16666667</v>
      </c>
      <c r="N189" s="30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17">
        <v>41548.0</v>
      </c>
      <c r="B190" s="18">
        <v>57.9</v>
      </c>
      <c r="C190" s="18">
        <v>61.0</v>
      </c>
      <c r="D190" s="18">
        <v>59.7</v>
      </c>
      <c r="E190" s="18">
        <v>56.3</v>
      </c>
      <c r="F190" s="18">
        <v>54.5</v>
      </c>
      <c r="G190" s="18">
        <v>56.0</v>
      </c>
      <c r="H190" s="18">
        <v>53.6</v>
      </c>
      <c r="I190" s="18">
        <v>50.5</v>
      </c>
      <c r="J190" s="18">
        <v>50.5</v>
      </c>
      <c r="K190" s="18">
        <v>55.0</v>
      </c>
      <c r="L190" s="18">
        <v>63.5</v>
      </c>
      <c r="M190" s="31">
        <f t="shared" si="1"/>
        <v>55.93333333</v>
      </c>
      <c r="N190" s="30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17">
        <v>41579.0</v>
      </c>
      <c r="B191" s="18">
        <v>54.5</v>
      </c>
      <c r="C191" s="18">
        <v>55.8</v>
      </c>
      <c r="D191" s="18">
        <v>58.1</v>
      </c>
      <c r="E191" s="18">
        <v>54.1</v>
      </c>
      <c r="F191" s="18">
        <v>50.0</v>
      </c>
      <c r="G191" s="18">
        <v>54.5</v>
      </c>
      <c r="H191" s="18">
        <v>56.9</v>
      </c>
      <c r="I191" s="18">
        <v>50.5</v>
      </c>
      <c r="J191" s="18">
        <v>57.5</v>
      </c>
      <c r="K191" s="18">
        <v>51.5</v>
      </c>
      <c r="L191" s="18">
        <v>62.0</v>
      </c>
      <c r="M191" s="31">
        <f t="shared" si="1"/>
        <v>55</v>
      </c>
      <c r="N191" s="30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17">
        <v>41609.0</v>
      </c>
      <c r="B192" s="18">
        <v>55.1</v>
      </c>
      <c r="C192" s="18">
        <v>58.9</v>
      </c>
      <c r="D192" s="18">
        <v>56.4</v>
      </c>
      <c r="E192" s="18">
        <v>56.0</v>
      </c>
      <c r="F192" s="18">
        <v>49.0</v>
      </c>
      <c r="G192" s="18">
        <v>54.5</v>
      </c>
      <c r="H192" s="18">
        <v>56.2</v>
      </c>
      <c r="I192" s="18">
        <v>50.0</v>
      </c>
      <c r="J192" s="18">
        <v>53.0</v>
      </c>
      <c r="K192" s="18">
        <v>55.0</v>
      </c>
      <c r="L192" s="18">
        <v>62.5</v>
      </c>
      <c r="M192" s="31">
        <f t="shared" si="1"/>
        <v>53.86666667</v>
      </c>
      <c r="N192" s="30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17">
        <v>41640.0</v>
      </c>
      <c r="B193" s="18">
        <v>54.1</v>
      </c>
      <c r="C193" s="18">
        <v>55.3</v>
      </c>
      <c r="D193" s="18">
        <v>55.7</v>
      </c>
      <c r="E193" s="18">
        <v>54.5</v>
      </c>
      <c r="F193" s="18">
        <v>51.0</v>
      </c>
      <c r="G193" s="18">
        <v>54.0</v>
      </c>
      <c r="H193" s="18">
        <v>52.7</v>
      </c>
      <c r="I193" s="18">
        <v>49.0</v>
      </c>
      <c r="J193" s="18">
        <v>58.0</v>
      </c>
      <c r="K193" s="18">
        <v>55.0</v>
      </c>
      <c r="L193" s="18">
        <v>60.5</v>
      </c>
      <c r="M193" s="31">
        <f t="shared" si="1"/>
        <v>53.13333333</v>
      </c>
      <c r="N193" s="30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17">
        <v>41671.0</v>
      </c>
      <c r="B194" s="18">
        <v>53.0</v>
      </c>
      <c r="C194" s="18">
        <v>54.3</v>
      </c>
      <c r="D194" s="18">
        <v>50.4</v>
      </c>
      <c r="E194" s="18">
        <v>55.6</v>
      </c>
      <c r="F194" s="18">
        <v>51.5</v>
      </c>
      <c r="G194" s="18">
        <v>48.0</v>
      </c>
      <c r="H194" s="18">
        <v>54.7</v>
      </c>
      <c r="I194" s="18">
        <v>46.0</v>
      </c>
      <c r="J194" s="18">
        <v>51.5</v>
      </c>
      <c r="K194" s="18">
        <v>50.5</v>
      </c>
      <c r="L194" s="18">
        <v>57.5</v>
      </c>
      <c r="M194" s="31">
        <f t="shared" si="1"/>
        <v>52.2</v>
      </c>
      <c r="N194" s="30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17">
        <v>41699.0</v>
      </c>
      <c r="B195" s="18">
        <v>54.0</v>
      </c>
      <c r="C195" s="18">
        <v>56.3</v>
      </c>
      <c r="D195" s="18">
        <v>50.9</v>
      </c>
      <c r="E195" s="18">
        <v>56.4</v>
      </c>
      <c r="F195" s="18">
        <v>52.5</v>
      </c>
      <c r="G195" s="18">
        <v>50.5</v>
      </c>
      <c r="H195" s="18">
        <v>57.1</v>
      </c>
      <c r="I195" s="18">
        <v>49.0</v>
      </c>
      <c r="J195" s="18">
        <v>49.0</v>
      </c>
      <c r="K195" s="18">
        <v>48.0</v>
      </c>
      <c r="L195" s="18">
        <v>63.0</v>
      </c>
      <c r="M195" s="31">
        <f t="shared" si="1"/>
        <v>53.5</v>
      </c>
      <c r="N195" s="30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17">
        <v>41730.0</v>
      </c>
      <c r="B196" s="18">
        <v>51.6</v>
      </c>
      <c r="C196" s="18">
        <v>54.6</v>
      </c>
      <c r="D196" s="18">
        <v>51.3</v>
      </c>
      <c r="E196" s="18">
        <v>47.5</v>
      </c>
      <c r="F196" s="18">
        <v>53.0</v>
      </c>
      <c r="G196" s="18">
        <v>50.5</v>
      </c>
      <c r="H196" s="18">
        <v>53.7</v>
      </c>
      <c r="I196" s="18">
        <v>52.0</v>
      </c>
      <c r="J196" s="18">
        <v>47.5</v>
      </c>
      <c r="K196" s="18">
        <v>47.0</v>
      </c>
      <c r="L196" s="18">
        <v>62.0</v>
      </c>
      <c r="M196" s="31">
        <f t="shared" si="1"/>
        <v>52.66666667</v>
      </c>
      <c r="N196" s="30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17">
        <v>41760.0</v>
      </c>
      <c r="B197" s="18">
        <v>53.1</v>
      </c>
      <c r="C197" s="18">
        <v>53.4</v>
      </c>
      <c r="D197" s="18">
        <v>53.4</v>
      </c>
      <c r="E197" s="18">
        <v>53.6</v>
      </c>
      <c r="F197" s="18">
        <v>52.0</v>
      </c>
      <c r="G197" s="18">
        <v>48.0</v>
      </c>
      <c r="H197" s="18">
        <v>58.3</v>
      </c>
      <c r="I197" s="18">
        <v>51.5</v>
      </c>
      <c r="J197" s="18">
        <v>49.5</v>
      </c>
      <c r="K197" s="18">
        <v>50.5</v>
      </c>
      <c r="L197" s="18">
        <v>60.5</v>
      </c>
      <c r="M197" s="31">
        <f t="shared" si="1"/>
        <v>54.56666667</v>
      </c>
      <c r="N197" s="30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17">
        <v>41791.0</v>
      </c>
      <c r="B198" s="18">
        <v>55.2</v>
      </c>
      <c r="C198" s="18">
        <v>60.9</v>
      </c>
      <c r="D198" s="18">
        <v>58.2</v>
      </c>
      <c r="E198" s="18">
        <v>51.3</v>
      </c>
      <c r="F198" s="18">
        <v>50.5</v>
      </c>
      <c r="G198" s="18">
        <v>55.5</v>
      </c>
      <c r="H198" s="18">
        <v>60.8</v>
      </c>
      <c r="I198" s="18">
        <v>49.0</v>
      </c>
      <c r="J198" s="18">
        <v>57.0</v>
      </c>
      <c r="K198" s="18">
        <v>55.5</v>
      </c>
      <c r="L198" s="18">
        <v>65.0</v>
      </c>
      <c r="M198" s="31">
        <f t="shared" si="1"/>
        <v>56.5</v>
      </c>
      <c r="N198" s="30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17">
        <v>41821.0</v>
      </c>
      <c r="B199" s="18">
        <v>56.3</v>
      </c>
      <c r="C199" s="18">
        <v>62.1</v>
      </c>
      <c r="D199" s="18">
        <v>60.5</v>
      </c>
      <c r="E199" s="18">
        <v>52.4</v>
      </c>
      <c r="F199" s="18">
        <v>50.0</v>
      </c>
      <c r="G199" s="18">
        <v>55.5</v>
      </c>
      <c r="H199" s="18">
        <v>61.4</v>
      </c>
      <c r="I199" s="18">
        <v>54.0</v>
      </c>
      <c r="J199" s="18">
        <v>53.0</v>
      </c>
      <c r="K199" s="18">
        <v>55.5</v>
      </c>
      <c r="L199" s="18">
        <v>63.0</v>
      </c>
      <c r="M199" s="31">
        <f t="shared" si="1"/>
        <v>57.3</v>
      </c>
      <c r="N199" s="30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17">
        <v>41852.0</v>
      </c>
      <c r="B200" s="18">
        <v>56.0</v>
      </c>
      <c r="C200" s="18">
        <v>57.5</v>
      </c>
      <c r="D200" s="18">
        <v>61.2</v>
      </c>
      <c r="E200" s="18">
        <v>54.4</v>
      </c>
      <c r="F200" s="18">
        <v>51.0</v>
      </c>
      <c r="G200" s="18">
        <v>53.5</v>
      </c>
      <c r="H200" s="18">
        <v>61.2</v>
      </c>
      <c r="I200" s="18">
        <v>53.0</v>
      </c>
      <c r="J200" s="18">
        <v>55.0</v>
      </c>
      <c r="K200" s="18">
        <v>53.0</v>
      </c>
      <c r="L200" s="18">
        <v>60.5</v>
      </c>
      <c r="M200" s="31">
        <f t="shared" si="1"/>
        <v>57.8</v>
      </c>
      <c r="N200" s="30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17">
        <v>41883.0</v>
      </c>
      <c r="B201" s="18">
        <v>58.7</v>
      </c>
      <c r="C201" s="18">
        <v>62.4</v>
      </c>
      <c r="D201" s="18">
        <v>64.9</v>
      </c>
      <c r="E201" s="18">
        <v>56.0</v>
      </c>
      <c r="F201" s="18">
        <v>51.5</v>
      </c>
      <c r="G201" s="18">
        <v>51.0</v>
      </c>
      <c r="H201" s="18">
        <v>60.9</v>
      </c>
      <c r="I201" s="18">
        <v>53.0</v>
      </c>
      <c r="J201" s="18">
        <v>53.0</v>
      </c>
      <c r="K201" s="18">
        <v>54.5</v>
      </c>
      <c r="L201" s="18">
        <v>58.0</v>
      </c>
      <c r="M201" s="31">
        <f t="shared" si="1"/>
        <v>59.1</v>
      </c>
      <c r="N201" s="30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17">
        <v>41913.0</v>
      </c>
      <c r="B202" s="18">
        <v>59.6</v>
      </c>
      <c r="C202" s="18">
        <v>65.0</v>
      </c>
      <c r="D202" s="18">
        <v>63.8</v>
      </c>
      <c r="E202" s="18">
        <v>57.1</v>
      </c>
      <c r="F202" s="18">
        <v>52.5</v>
      </c>
      <c r="G202" s="18">
        <v>51.0</v>
      </c>
      <c r="H202" s="18">
        <v>57.7</v>
      </c>
      <c r="I202" s="18">
        <v>54.5</v>
      </c>
      <c r="J202" s="18">
        <v>52.5</v>
      </c>
      <c r="K202" s="18">
        <v>51.0</v>
      </c>
      <c r="L202" s="18">
        <v>55.0</v>
      </c>
      <c r="M202" s="31">
        <f t="shared" si="1"/>
        <v>58</v>
      </c>
      <c r="N202" s="30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17">
        <v>41944.0</v>
      </c>
      <c r="B203" s="18">
        <v>58.6</v>
      </c>
      <c r="C203" s="18">
        <v>62.9</v>
      </c>
      <c r="D203" s="18">
        <v>61.0</v>
      </c>
      <c r="E203" s="18">
        <v>58.5</v>
      </c>
      <c r="F203" s="18">
        <v>52.0</v>
      </c>
      <c r="G203" s="18">
        <v>52.0</v>
      </c>
      <c r="H203" s="18">
        <v>55.2</v>
      </c>
      <c r="I203" s="18">
        <v>52.0</v>
      </c>
      <c r="J203" s="18">
        <v>57.5</v>
      </c>
      <c r="K203" s="18">
        <v>52.5</v>
      </c>
      <c r="L203" s="18">
        <v>60.0</v>
      </c>
      <c r="M203" s="31">
        <f t="shared" si="1"/>
        <v>56.06666667</v>
      </c>
      <c r="N203" s="30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17">
        <v>41974.0</v>
      </c>
      <c r="B204" s="18">
        <v>57.1</v>
      </c>
      <c r="C204" s="18">
        <v>60.0</v>
      </c>
      <c r="D204" s="18">
        <v>59.1</v>
      </c>
      <c r="E204" s="18">
        <v>59.6</v>
      </c>
      <c r="F204" s="18">
        <v>49.5</v>
      </c>
      <c r="G204" s="18">
        <v>49.5</v>
      </c>
      <c r="H204" s="18">
        <v>52.1</v>
      </c>
      <c r="I204" s="18">
        <v>51.5</v>
      </c>
      <c r="J204" s="18">
        <v>53.5</v>
      </c>
      <c r="K204" s="18">
        <v>56.0</v>
      </c>
      <c r="L204" s="18">
        <v>58.5</v>
      </c>
      <c r="M204" s="31">
        <f t="shared" si="1"/>
        <v>53.56666667</v>
      </c>
      <c r="N204" s="30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17">
        <v>42005.0</v>
      </c>
      <c r="B205" s="18">
        <v>59.3</v>
      </c>
      <c r="C205" s="18">
        <v>64.4</v>
      </c>
      <c r="D205" s="18">
        <v>61.4</v>
      </c>
      <c r="E205" s="18">
        <v>56.7</v>
      </c>
      <c r="F205" s="18">
        <v>54.5</v>
      </c>
      <c r="G205" s="18">
        <v>55.5</v>
      </c>
      <c r="H205" s="18">
        <v>54.4</v>
      </c>
      <c r="I205" s="18">
        <v>55.5</v>
      </c>
      <c r="J205" s="18">
        <v>57.0</v>
      </c>
      <c r="K205" s="18">
        <v>53.5</v>
      </c>
      <c r="L205" s="18">
        <v>63.0</v>
      </c>
      <c r="M205" s="31">
        <f t="shared" si="1"/>
        <v>56.76666667</v>
      </c>
      <c r="N205" s="30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17">
        <v>42036.0</v>
      </c>
      <c r="B206" s="18">
        <v>56.5</v>
      </c>
      <c r="C206" s="18">
        <v>58.6</v>
      </c>
      <c r="D206" s="18">
        <v>59.2</v>
      </c>
      <c r="E206" s="18">
        <v>55.7</v>
      </c>
      <c r="F206" s="18">
        <v>52.5</v>
      </c>
      <c r="G206" s="18">
        <v>50.0</v>
      </c>
      <c r="H206" s="18">
        <v>49.8</v>
      </c>
      <c r="I206" s="18">
        <v>49.5</v>
      </c>
      <c r="J206" s="18">
        <v>53.5</v>
      </c>
      <c r="K206" s="18">
        <v>50.0</v>
      </c>
      <c r="L206" s="18">
        <v>59.0</v>
      </c>
      <c r="M206" s="31">
        <f t="shared" si="1"/>
        <v>53.83333333</v>
      </c>
      <c r="N206" s="30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17">
        <v>42064.0</v>
      </c>
      <c r="B207" s="18">
        <v>56.7</v>
      </c>
      <c r="C207" s="18">
        <v>61.5</v>
      </c>
      <c r="D207" s="18">
        <v>59.5</v>
      </c>
      <c r="E207" s="18">
        <v>51.6</v>
      </c>
      <c r="F207" s="18">
        <v>54.0</v>
      </c>
      <c r="G207" s="18">
        <v>52.5</v>
      </c>
      <c r="H207" s="18">
        <v>45.5</v>
      </c>
      <c r="I207" s="18">
        <v>49.0</v>
      </c>
      <c r="J207" s="18">
        <v>52.5</v>
      </c>
      <c r="K207" s="18">
        <v>46.5</v>
      </c>
      <c r="L207" s="18">
        <v>61.5</v>
      </c>
      <c r="M207" s="31">
        <f t="shared" si="1"/>
        <v>53</v>
      </c>
      <c r="N207" s="30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17">
        <v>42095.0</v>
      </c>
      <c r="B208" s="18">
        <v>56.9</v>
      </c>
      <c r="C208" s="18">
        <v>59.4</v>
      </c>
      <c r="D208" s="18">
        <v>56.7</v>
      </c>
      <c r="E208" s="18">
        <v>56.4</v>
      </c>
      <c r="F208" s="18">
        <v>55.0</v>
      </c>
      <c r="G208" s="18">
        <v>54.5</v>
      </c>
      <c r="H208" s="18">
        <v>49.7</v>
      </c>
      <c r="I208" s="18">
        <v>53.0</v>
      </c>
      <c r="J208" s="18">
        <v>53.0</v>
      </c>
      <c r="K208" s="18">
        <v>51.0</v>
      </c>
      <c r="L208" s="18">
        <v>62.0</v>
      </c>
      <c r="M208" s="31">
        <f t="shared" si="1"/>
        <v>53.8</v>
      </c>
      <c r="N208" s="30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17">
        <v>42125.0</v>
      </c>
      <c r="B209" s="18">
        <v>56.5</v>
      </c>
      <c r="C209" s="18">
        <v>57.5</v>
      </c>
      <c r="D209" s="18">
        <v>57.8</v>
      </c>
      <c r="E209" s="18">
        <v>56.6</v>
      </c>
      <c r="F209" s="18">
        <v>54.0</v>
      </c>
      <c r="G209" s="18">
        <v>49.5</v>
      </c>
      <c r="H209" s="18">
        <v>52.4</v>
      </c>
      <c r="I209" s="18">
        <v>53.5</v>
      </c>
      <c r="J209" s="18">
        <v>59.0</v>
      </c>
      <c r="K209" s="18">
        <v>55.5</v>
      </c>
      <c r="L209" s="18">
        <v>61.0</v>
      </c>
      <c r="M209" s="31">
        <f t="shared" si="1"/>
        <v>54.73333333</v>
      </c>
      <c r="N209" s="30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17">
        <v>42156.0</v>
      </c>
      <c r="B210" s="18">
        <v>57.8</v>
      </c>
      <c r="C210" s="18">
        <v>61.6</v>
      </c>
      <c r="D210" s="18">
        <v>59.2</v>
      </c>
      <c r="E210" s="18">
        <v>56.7</v>
      </c>
      <c r="F210" s="18">
        <v>53.5</v>
      </c>
      <c r="G210" s="18">
        <v>51.0</v>
      </c>
      <c r="H210" s="18">
        <v>50.1</v>
      </c>
      <c r="I210" s="18">
        <v>54.5</v>
      </c>
      <c r="J210" s="18">
        <v>48.5</v>
      </c>
      <c r="K210" s="18">
        <v>51.5</v>
      </c>
      <c r="L210" s="18">
        <v>59.5</v>
      </c>
      <c r="M210" s="31">
        <f t="shared" si="1"/>
        <v>54.26666667</v>
      </c>
      <c r="N210" s="30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17">
        <v>42186.0</v>
      </c>
      <c r="B211" s="18">
        <v>55.7</v>
      </c>
      <c r="C211" s="18">
        <v>59.5</v>
      </c>
      <c r="D211" s="18">
        <v>57.9</v>
      </c>
      <c r="E211" s="18">
        <v>55.3</v>
      </c>
      <c r="F211" s="18">
        <v>50.0</v>
      </c>
      <c r="G211" s="18">
        <v>51.0</v>
      </c>
      <c r="H211" s="18">
        <v>55.9</v>
      </c>
      <c r="I211" s="18">
        <v>48.5</v>
      </c>
      <c r="J211" s="18">
        <v>55.0</v>
      </c>
      <c r="K211" s="18">
        <v>53.5</v>
      </c>
      <c r="L211" s="18">
        <v>59.0</v>
      </c>
      <c r="M211" s="31">
        <f t="shared" si="1"/>
        <v>54.6</v>
      </c>
      <c r="N211" s="30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17">
        <v>42217.0</v>
      </c>
      <c r="B212" s="18">
        <v>56.0</v>
      </c>
      <c r="C212" s="18">
        <v>61.5</v>
      </c>
      <c r="D212" s="18">
        <v>58.3</v>
      </c>
      <c r="E212" s="18">
        <v>52.7</v>
      </c>
      <c r="F212" s="18">
        <v>51.5</v>
      </c>
      <c r="G212" s="18">
        <v>55.0</v>
      </c>
      <c r="H212" s="18">
        <v>53.0</v>
      </c>
      <c r="I212" s="18">
        <v>50.5</v>
      </c>
      <c r="J212" s="18">
        <v>52.0</v>
      </c>
      <c r="K212" s="18">
        <v>48.0</v>
      </c>
      <c r="L212" s="18">
        <v>65.0</v>
      </c>
      <c r="M212" s="31">
        <f t="shared" si="1"/>
        <v>54.26666667</v>
      </c>
      <c r="N212" s="30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17">
        <v>42248.0</v>
      </c>
      <c r="B213" s="18">
        <v>60.3</v>
      </c>
      <c r="C213" s="18">
        <v>64.9</v>
      </c>
      <c r="D213" s="18">
        <v>63.8</v>
      </c>
      <c r="E213" s="18">
        <v>59.6</v>
      </c>
      <c r="F213" s="18">
        <v>53.0</v>
      </c>
      <c r="G213" s="18">
        <v>57.0</v>
      </c>
      <c r="H213" s="18">
        <v>53.7</v>
      </c>
      <c r="I213" s="18">
        <v>54.0</v>
      </c>
      <c r="J213" s="18">
        <v>56.5</v>
      </c>
      <c r="K213" s="18">
        <v>50.5</v>
      </c>
      <c r="L213" s="18">
        <v>63.5</v>
      </c>
      <c r="M213" s="31">
        <f t="shared" si="1"/>
        <v>56.83333333</v>
      </c>
      <c r="N213" s="30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17">
        <v>42278.0</v>
      </c>
      <c r="B214" s="18">
        <v>59.0</v>
      </c>
      <c r="C214" s="18">
        <v>63.9</v>
      </c>
      <c r="D214" s="18">
        <v>63.4</v>
      </c>
      <c r="E214" s="18">
        <v>56.0</v>
      </c>
      <c r="F214" s="18">
        <v>52.5</v>
      </c>
      <c r="G214" s="18">
        <v>54.5</v>
      </c>
      <c r="H214" s="18">
        <v>50.8</v>
      </c>
      <c r="I214" s="18">
        <v>56.5</v>
      </c>
      <c r="J214" s="18">
        <v>52.0</v>
      </c>
      <c r="K214" s="18">
        <v>51.5</v>
      </c>
      <c r="L214" s="18">
        <v>69.0</v>
      </c>
      <c r="M214" s="31">
        <f t="shared" si="1"/>
        <v>55.56666667</v>
      </c>
      <c r="N214" s="30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17">
        <v>42309.0</v>
      </c>
      <c r="B215" s="18">
        <v>56.9</v>
      </c>
      <c r="C215" s="18">
        <v>60.2</v>
      </c>
      <c r="D215" s="18">
        <v>56.7</v>
      </c>
      <c r="E215" s="18">
        <v>58.3</v>
      </c>
      <c r="F215" s="18">
        <v>52.5</v>
      </c>
      <c r="G215" s="18">
        <v>51.0</v>
      </c>
      <c r="H215" s="18">
        <v>48.4</v>
      </c>
      <c r="I215" s="18">
        <v>54.5</v>
      </c>
      <c r="J215" s="18">
        <v>52.5</v>
      </c>
      <c r="K215" s="18">
        <v>53.0</v>
      </c>
      <c r="L215" s="18">
        <v>65.0</v>
      </c>
      <c r="M215" s="31">
        <f t="shared" si="1"/>
        <v>52.53333333</v>
      </c>
      <c r="N215" s="30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17">
        <v>42339.0</v>
      </c>
      <c r="B216" s="18">
        <v>59.1</v>
      </c>
      <c r="C216" s="18">
        <v>63.0</v>
      </c>
      <c r="D216" s="18">
        <v>62.0</v>
      </c>
      <c r="E216" s="18">
        <v>59.2</v>
      </c>
      <c r="F216" s="18">
        <v>52.0</v>
      </c>
      <c r="G216" s="18">
        <v>52.5</v>
      </c>
      <c r="H216" s="18">
        <v>49.1</v>
      </c>
      <c r="I216" s="18">
        <v>54.5</v>
      </c>
      <c r="J216" s="18">
        <v>54.5</v>
      </c>
      <c r="K216" s="18">
        <v>54.5</v>
      </c>
      <c r="L216" s="18">
        <v>63.0</v>
      </c>
      <c r="M216" s="31">
        <f t="shared" si="1"/>
        <v>54.36666667</v>
      </c>
      <c r="N216" s="30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17">
        <v>42370.0</v>
      </c>
      <c r="B217" s="18">
        <v>55.9</v>
      </c>
      <c r="C217" s="18">
        <v>58.2</v>
      </c>
      <c r="D217" s="18">
        <v>57.5</v>
      </c>
      <c r="E217" s="18">
        <v>55.0</v>
      </c>
      <c r="F217" s="18">
        <v>53.0</v>
      </c>
      <c r="G217" s="18">
        <v>54.5</v>
      </c>
      <c r="H217" s="18">
        <v>50.3</v>
      </c>
      <c r="I217" s="18">
        <v>51.5</v>
      </c>
      <c r="J217" s="18">
        <v>49.5</v>
      </c>
      <c r="K217" s="18">
        <v>51.0</v>
      </c>
      <c r="L217" s="18">
        <v>63.5</v>
      </c>
      <c r="M217" s="31">
        <f t="shared" si="1"/>
        <v>53.6</v>
      </c>
      <c r="N217" s="30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17">
        <v>42401.0</v>
      </c>
      <c r="B218" s="18">
        <v>55.8</v>
      </c>
      <c r="C218" s="18">
        <v>59.5</v>
      </c>
      <c r="D218" s="18">
        <v>58.9</v>
      </c>
      <c r="E218" s="18">
        <v>56.3</v>
      </c>
      <c r="F218" s="18">
        <v>48.5</v>
      </c>
      <c r="G218" s="18">
        <v>53.0</v>
      </c>
      <c r="H218" s="18">
        <v>51.0</v>
      </c>
      <c r="I218" s="18">
        <v>50.0</v>
      </c>
      <c r="J218" s="18">
        <v>53.5</v>
      </c>
      <c r="K218" s="18">
        <v>49.0</v>
      </c>
      <c r="L218" s="18">
        <v>64.5</v>
      </c>
      <c r="M218" s="31">
        <f t="shared" si="1"/>
        <v>52.8</v>
      </c>
      <c r="N218" s="30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17">
        <v>42430.0</v>
      </c>
      <c r="B219" s="18">
        <v>53.5</v>
      </c>
      <c r="C219" s="18">
        <v>53.9</v>
      </c>
      <c r="D219" s="18">
        <v>56.5</v>
      </c>
      <c r="E219" s="18">
        <v>52.1</v>
      </c>
      <c r="F219" s="18">
        <v>51.5</v>
      </c>
      <c r="G219" s="18">
        <v>51.5</v>
      </c>
      <c r="H219" s="18">
        <v>46.4</v>
      </c>
      <c r="I219" s="18">
        <v>52.0</v>
      </c>
      <c r="J219" s="18">
        <v>45.5</v>
      </c>
      <c r="K219" s="18">
        <v>46.0</v>
      </c>
      <c r="L219" s="18">
        <v>61.5</v>
      </c>
      <c r="M219" s="31">
        <f t="shared" si="1"/>
        <v>51.46666667</v>
      </c>
      <c r="N219" s="30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17">
        <v>42461.0</v>
      </c>
      <c r="B220" s="18">
        <v>53.4</v>
      </c>
      <c r="C220" s="18">
        <v>57.8</v>
      </c>
      <c r="D220" s="18">
        <v>55.5</v>
      </c>
      <c r="E220" s="18">
        <v>49.7</v>
      </c>
      <c r="F220" s="18">
        <v>50.5</v>
      </c>
      <c r="G220" s="18">
        <v>52.5</v>
      </c>
      <c r="H220" s="18">
        <v>45.5</v>
      </c>
      <c r="I220" s="18">
        <v>52.0</v>
      </c>
      <c r="J220" s="18">
        <v>53.5</v>
      </c>
      <c r="K220" s="18">
        <v>55.5</v>
      </c>
      <c r="L220" s="18">
        <v>62.0</v>
      </c>
      <c r="M220" s="31">
        <f t="shared" si="1"/>
        <v>50.5</v>
      </c>
      <c r="N220" s="30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17">
        <v>42491.0</v>
      </c>
      <c r="B221" s="18">
        <v>54.5</v>
      </c>
      <c r="C221" s="18">
        <v>59.8</v>
      </c>
      <c r="D221" s="18">
        <v>56.7</v>
      </c>
      <c r="E221" s="18">
        <v>50.3</v>
      </c>
      <c r="F221" s="18">
        <v>51.0</v>
      </c>
      <c r="G221" s="18">
        <v>52.5</v>
      </c>
      <c r="H221" s="18">
        <v>49.1</v>
      </c>
      <c r="I221" s="18">
        <v>52.0</v>
      </c>
      <c r="J221" s="18">
        <v>58.5</v>
      </c>
      <c r="K221" s="18">
        <v>53.0</v>
      </c>
      <c r="L221" s="18">
        <v>62.5</v>
      </c>
      <c r="M221" s="31">
        <f t="shared" si="1"/>
        <v>52.26666667</v>
      </c>
      <c r="N221" s="30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17">
        <v>42522.0</v>
      </c>
      <c r="B222" s="18">
        <v>55.7</v>
      </c>
      <c r="C222" s="18">
        <v>58.8</v>
      </c>
      <c r="D222" s="18">
        <v>59.9</v>
      </c>
      <c r="E222" s="18">
        <v>53.0</v>
      </c>
      <c r="F222" s="18">
        <v>51.0</v>
      </c>
      <c r="G222" s="18">
        <v>54.0</v>
      </c>
      <c r="H222" s="18">
        <v>53.4</v>
      </c>
      <c r="I222" s="18">
        <v>51.5</v>
      </c>
      <c r="J222" s="18">
        <v>56.5</v>
      </c>
      <c r="K222" s="18">
        <v>54.0</v>
      </c>
      <c r="L222" s="18">
        <v>61.0</v>
      </c>
      <c r="M222" s="31">
        <f t="shared" si="1"/>
        <v>54.76666667</v>
      </c>
      <c r="N222" s="30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17">
        <v>42552.0</v>
      </c>
      <c r="B223" s="18">
        <v>52.9</v>
      </c>
      <c r="C223" s="18">
        <v>55.1</v>
      </c>
      <c r="D223" s="18">
        <v>54.2</v>
      </c>
      <c r="E223" s="18">
        <v>49.7</v>
      </c>
      <c r="F223" s="18">
        <v>52.5</v>
      </c>
      <c r="G223" s="18">
        <v>54.0</v>
      </c>
      <c r="H223" s="18">
        <v>55.6</v>
      </c>
      <c r="I223" s="18">
        <v>50.0</v>
      </c>
      <c r="J223" s="18">
        <v>49.0</v>
      </c>
      <c r="K223" s="18">
        <v>53.5</v>
      </c>
      <c r="L223" s="18">
        <v>60.0</v>
      </c>
      <c r="M223" s="31">
        <f t="shared" si="1"/>
        <v>54.1</v>
      </c>
      <c r="N223" s="30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17">
        <v>42583.0</v>
      </c>
      <c r="B224" s="18">
        <v>56.5</v>
      </c>
      <c r="C224" s="18">
        <v>59.5</v>
      </c>
      <c r="D224" s="18">
        <v>59.9</v>
      </c>
      <c r="E224" s="18">
        <v>52.7</v>
      </c>
      <c r="F224" s="18">
        <v>54.0</v>
      </c>
      <c r="G224" s="18">
        <v>55.5</v>
      </c>
      <c r="H224" s="18">
        <v>55.5</v>
      </c>
      <c r="I224" s="18">
        <v>47.5</v>
      </c>
      <c r="J224" s="18">
        <v>53.0</v>
      </c>
      <c r="K224" s="18">
        <v>54.0</v>
      </c>
      <c r="L224" s="18">
        <v>62.5</v>
      </c>
      <c r="M224" s="31">
        <f t="shared" si="1"/>
        <v>56.46666667</v>
      </c>
      <c r="N224" s="30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17">
        <v>42614.0</v>
      </c>
      <c r="B225" s="18">
        <v>55.5</v>
      </c>
      <c r="C225" s="18">
        <v>59.3</v>
      </c>
      <c r="D225" s="18">
        <v>60.3</v>
      </c>
      <c r="E225" s="18">
        <v>51.4</v>
      </c>
      <c r="F225" s="18">
        <v>51.0</v>
      </c>
      <c r="G225" s="18">
        <v>54.0</v>
      </c>
      <c r="H225" s="18">
        <v>51.9</v>
      </c>
      <c r="I225" s="18">
        <v>51.0</v>
      </c>
      <c r="J225" s="18">
        <v>55.5</v>
      </c>
      <c r="K225" s="18">
        <v>53.0</v>
      </c>
      <c r="L225" s="18">
        <v>63.0</v>
      </c>
      <c r="M225" s="31">
        <f t="shared" si="1"/>
        <v>54.4</v>
      </c>
      <c r="N225" s="30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17">
        <v>42644.0</v>
      </c>
      <c r="B226" s="18">
        <v>51.4</v>
      </c>
      <c r="C226" s="18">
        <v>51.8</v>
      </c>
      <c r="D226" s="18">
        <v>51.4</v>
      </c>
      <c r="E226" s="18">
        <v>50.7</v>
      </c>
      <c r="F226" s="18">
        <v>51.5</v>
      </c>
      <c r="G226" s="18">
        <v>48.0</v>
      </c>
      <c r="H226" s="18">
        <v>51.8</v>
      </c>
      <c r="I226" s="18">
        <v>49.5</v>
      </c>
      <c r="J226" s="18">
        <v>46.5</v>
      </c>
      <c r="K226" s="18">
        <v>50.5</v>
      </c>
      <c r="L226" s="18">
        <v>64.0</v>
      </c>
      <c r="M226" s="31">
        <f t="shared" si="1"/>
        <v>51.56666667</v>
      </c>
      <c r="N226" s="30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17">
        <v>42675.0</v>
      </c>
      <c r="B227" s="18">
        <v>57.1</v>
      </c>
      <c r="C227" s="18">
        <v>60.3</v>
      </c>
      <c r="D227" s="18">
        <v>60.0</v>
      </c>
      <c r="E227" s="18">
        <v>57.2</v>
      </c>
      <c r="F227" s="18">
        <v>51.0</v>
      </c>
      <c r="G227" s="18">
        <v>51.5</v>
      </c>
      <c r="H227" s="18">
        <v>54.0</v>
      </c>
      <c r="I227" s="18">
        <v>52.0</v>
      </c>
      <c r="J227" s="18">
        <v>56.5</v>
      </c>
      <c r="K227" s="18">
        <v>51.0</v>
      </c>
      <c r="L227" s="18">
        <v>64.5</v>
      </c>
      <c r="M227" s="31">
        <f t="shared" si="1"/>
        <v>55</v>
      </c>
      <c r="N227" s="30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17">
        <v>42705.0</v>
      </c>
      <c r="B228" s="18">
        <v>54.8</v>
      </c>
      <c r="C228" s="18">
        <v>57.7</v>
      </c>
      <c r="D228" s="18">
        <v>57.7</v>
      </c>
      <c r="E228" s="18">
        <v>53.1</v>
      </c>
      <c r="F228" s="18">
        <v>50.5</v>
      </c>
      <c r="G228" s="18">
        <v>52.0</v>
      </c>
      <c r="H228" s="18">
        <v>56.6</v>
      </c>
      <c r="I228" s="18">
        <v>52.0</v>
      </c>
      <c r="J228" s="18">
        <v>55.5</v>
      </c>
      <c r="K228" s="18">
        <v>53.0</v>
      </c>
      <c r="L228" s="18">
        <v>62.0</v>
      </c>
      <c r="M228" s="31">
        <f t="shared" si="1"/>
        <v>54.93333333</v>
      </c>
      <c r="N228" s="30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17">
        <v>42736.0</v>
      </c>
      <c r="B229" s="18">
        <v>57.2</v>
      </c>
      <c r="C229" s="18">
        <v>61.7</v>
      </c>
      <c r="D229" s="18">
        <v>57.0</v>
      </c>
      <c r="E229" s="18">
        <v>58.2</v>
      </c>
      <c r="F229" s="18">
        <v>52.0</v>
      </c>
      <c r="G229" s="18">
        <v>51.5</v>
      </c>
      <c r="H229" s="18">
        <v>56.3</v>
      </c>
      <c r="I229" s="18">
        <v>51.0</v>
      </c>
      <c r="J229" s="18">
        <v>57.0</v>
      </c>
      <c r="K229" s="18">
        <v>54.0</v>
      </c>
      <c r="L229" s="18">
        <v>60.5</v>
      </c>
      <c r="M229" s="31">
        <f t="shared" si="1"/>
        <v>55.1</v>
      </c>
      <c r="N229" s="30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17">
        <v>42767.0</v>
      </c>
      <c r="B230" s="18">
        <v>56.6</v>
      </c>
      <c r="C230" s="18">
        <v>60.9</v>
      </c>
      <c r="D230" s="18">
        <v>60.7</v>
      </c>
      <c r="E230" s="18">
        <v>52.7</v>
      </c>
      <c r="F230" s="18">
        <v>52.0</v>
      </c>
      <c r="G230" s="18">
        <v>52.0</v>
      </c>
      <c r="H230" s="18">
        <v>56.1</v>
      </c>
      <c r="I230" s="18">
        <v>48.0</v>
      </c>
      <c r="J230" s="18">
        <v>53.0</v>
      </c>
      <c r="K230" s="18">
        <v>50.0</v>
      </c>
      <c r="L230" s="18">
        <v>61.5</v>
      </c>
      <c r="M230" s="31">
        <f t="shared" si="1"/>
        <v>56.26666667</v>
      </c>
      <c r="N230" s="30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17">
        <v>42795.0</v>
      </c>
      <c r="B231" s="18">
        <v>56.5</v>
      </c>
      <c r="C231" s="18">
        <v>60.3</v>
      </c>
      <c r="D231" s="18">
        <v>58.6</v>
      </c>
      <c r="E231" s="18">
        <v>54.7</v>
      </c>
      <c r="F231" s="18">
        <v>52.5</v>
      </c>
      <c r="G231" s="18">
        <v>48.0</v>
      </c>
      <c r="H231" s="18">
        <v>59.0</v>
      </c>
      <c r="I231" s="18">
        <v>50.0</v>
      </c>
      <c r="J231" s="18">
        <v>48.0</v>
      </c>
      <c r="K231" s="18">
        <v>54.0</v>
      </c>
      <c r="L231" s="18">
        <v>62.0</v>
      </c>
      <c r="M231" s="31">
        <f t="shared" si="1"/>
        <v>56.7</v>
      </c>
      <c r="N231" s="30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17">
        <v>42826.0</v>
      </c>
      <c r="B232" s="18">
        <v>57.6</v>
      </c>
      <c r="C232" s="18">
        <v>63.6</v>
      </c>
      <c r="D232" s="18">
        <v>61.2</v>
      </c>
      <c r="E232" s="18">
        <v>55.2</v>
      </c>
      <c r="F232" s="18">
        <v>50.5</v>
      </c>
      <c r="G232" s="18">
        <v>52.0</v>
      </c>
      <c r="H232" s="18">
        <v>57.7</v>
      </c>
      <c r="I232" s="18">
        <v>54.0</v>
      </c>
      <c r="J232" s="18">
        <v>57.0</v>
      </c>
      <c r="K232" s="18">
        <v>51.0</v>
      </c>
      <c r="L232" s="18">
        <v>64.5</v>
      </c>
      <c r="M232" s="31">
        <f t="shared" si="1"/>
        <v>56.46666667</v>
      </c>
      <c r="N232" s="30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17">
        <v>42856.0</v>
      </c>
      <c r="B233" s="18">
        <v>55.2</v>
      </c>
      <c r="C233" s="18">
        <v>58.9</v>
      </c>
      <c r="D233" s="18">
        <v>58.9</v>
      </c>
      <c r="E233" s="18">
        <v>51.6</v>
      </c>
      <c r="F233" s="18">
        <v>51.5</v>
      </c>
      <c r="G233" s="18">
        <v>48.5</v>
      </c>
      <c r="H233" s="18">
        <v>53.5</v>
      </c>
      <c r="I233" s="18">
        <v>53.0</v>
      </c>
      <c r="J233" s="18">
        <v>62.5</v>
      </c>
      <c r="K233" s="18">
        <v>56.5</v>
      </c>
      <c r="L233" s="18">
        <v>65.0</v>
      </c>
      <c r="M233" s="31">
        <f t="shared" si="1"/>
        <v>54.63333333</v>
      </c>
      <c r="N233" s="30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17">
        <v>42887.0</v>
      </c>
      <c r="B234" s="18">
        <v>57.5</v>
      </c>
      <c r="C234" s="18">
        <v>62.4</v>
      </c>
      <c r="D234" s="18">
        <v>63.2</v>
      </c>
      <c r="E234" s="18">
        <v>51.4</v>
      </c>
      <c r="F234" s="18">
        <v>53.0</v>
      </c>
      <c r="G234" s="18">
        <v>52.5</v>
      </c>
      <c r="H234" s="18">
        <v>57.6</v>
      </c>
      <c r="I234" s="18">
        <v>53.5</v>
      </c>
      <c r="J234" s="18">
        <v>65.5</v>
      </c>
      <c r="K234" s="18">
        <v>53.0</v>
      </c>
      <c r="L234" s="18">
        <v>60.0</v>
      </c>
      <c r="M234" s="31">
        <f t="shared" si="1"/>
        <v>57.93333333</v>
      </c>
      <c r="N234" s="30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17">
        <v>42917.0</v>
      </c>
      <c r="B235" s="18">
        <v>56.9</v>
      </c>
      <c r="C235" s="18">
        <v>60.7</v>
      </c>
      <c r="D235" s="18">
        <v>57.7</v>
      </c>
      <c r="E235" s="18">
        <v>57.8</v>
      </c>
      <c r="F235" s="18">
        <v>51.5</v>
      </c>
      <c r="G235" s="18">
        <v>54.0</v>
      </c>
      <c r="H235" s="18">
        <v>49.2</v>
      </c>
      <c r="I235" s="18">
        <v>57.0</v>
      </c>
      <c r="J235" s="18">
        <v>54.5</v>
      </c>
      <c r="K235" s="18">
        <v>48.5</v>
      </c>
      <c r="L235" s="18">
        <v>63.0</v>
      </c>
      <c r="M235" s="31">
        <f t="shared" si="1"/>
        <v>52.8</v>
      </c>
      <c r="N235" s="30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17">
        <v>42948.0</v>
      </c>
      <c r="B236" s="18">
        <v>57.4</v>
      </c>
      <c r="C236" s="18">
        <v>60.8</v>
      </c>
      <c r="D236" s="18">
        <v>60.5</v>
      </c>
      <c r="E236" s="18">
        <v>55.8</v>
      </c>
      <c r="F236" s="18">
        <v>52.5</v>
      </c>
      <c r="G236" s="18">
        <v>57.5</v>
      </c>
      <c r="H236" s="18">
        <v>52.1</v>
      </c>
      <c r="I236" s="18">
        <v>52.5</v>
      </c>
      <c r="J236" s="18">
        <v>55.0</v>
      </c>
      <c r="K236" s="18">
        <v>51.0</v>
      </c>
      <c r="L236" s="18">
        <v>62.0</v>
      </c>
      <c r="M236" s="31">
        <f t="shared" si="1"/>
        <v>55.03333333</v>
      </c>
      <c r="N236" s="30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17">
        <v>42979.0</v>
      </c>
      <c r="B237" s="18">
        <v>53.9</v>
      </c>
      <c r="C237" s="18">
        <v>55.9</v>
      </c>
      <c r="D237" s="18">
        <v>55.1</v>
      </c>
      <c r="E237" s="18">
        <v>53.6</v>
      </c>
      <c r="F237" s="18">
        <v>51.0</v>
      </c>
      <c r="G237" s="18">
        <v>56.5</v>
      </c>
      <c r="H237" s="18">
        <v>55.7</v>
      </c>
      <c r="I237" s="18">
        <v>52.0</v>
      </c>
      <c r="J237" s="18">
        <v>53.0</v>
      </c>
      <c r="K237" s="18">
        <v>51.5</v>
      </c>
      <c r="L237" s="18">
        <v>67.5</v>
      </c>
      <c r="M237" s="31">
        <f t="shared" si="1"/>
        <v>53.93333333</v>
      </c>
      <c r="N237" s="30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17">
        <v>43009.0</v>
      </c>
      <c r="B238" s="18">
        <v>55.3</v>
      </c>
      <c r="C238" s="18">
        <v>57.5</v>
      </c>
      <c r="D238" s="18">
        <v>57.1</v>
      </c>
      <c r="E238" s="18">
        <v>56.2</v>
      </c>
      <c r="F238" s="18">
        <v>50.5</v>
      </c>
      <c r="G238" s="18">
        <v>53.5</v>
      </c>
      <c r="H238" s="18">
        <v>57.9</v>
      </c>
      <c r="I238" s="18">
        <v>53.5</v>
      </c>
      <c r="J238" s="18">
        <v>55.0</v>
      </c>
      <c r="K238" s="18">
        <v>50.5</v>
      </c>
      <c r="L238" s="18">
        <v>61.0</v>
      </c>
      <c r="M238" s="31">
        <f t="shared" si="1"/>
        <v>55.16666667</v>
      </c>
      <c r="N238" s="30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17">
        <v>43040.0</v>
      </c>
      <c r="B239" s="18">
        <v>59.8</v>
      </c>
      <c r="C239" s="18">
        <v>61.3</v>
      </c>
      <c r="D239" s="18">
        <v>63.0</v>
      </c>
      <c r="E239" s="18">
        <v>56.8</v>
      </c>
      <c r="F239" s="18">
        <v>58.0</v>
      </c>
      <c r="G239" s="18">
        <v>51.5</v>
      </c>
      <c r="H239" s="18">
        <v>66.3</v>
      </c>
      <c r="I239" s="18">
        <v>56.0</v>
      </c>
      <c r="J239" s="18">
        <v>56.0</v>
      </c>
      <c r="K239" s="18">
        <v>52.0</v>
      </c>
      <c r="L239" s="18">
        <v>58.5</v>
      </c>
      <c r="M239" s="31">
        <f t="shared" si="1"/>
        <v>62.43333333</v>
      </c>
      <c r="N239" s="30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17">
        <v>43070.0</v>
      </c>
      <c r="B240" s="18">
        <v>60.1</v>
      </c>
      <c r="C240" s="18">
        <v>62.2</v>
      </c>
      <c r="D240" s="18">
        <v>62.8</v>
      </c>
      <c r="E240" s="18">
        <v>57.5</v>
      </c>
      <c r="F240" s="18">
        <v>58.0</v>
      </c>
      <c r="G240" s="18">
        <v>52.5</v>
      </c>
      <c r="H240" s="18">
        <v>62.7</v>
      </c>
      <c r="I240" s="18">
        <v>53.5</v>
      </c>
      <c r="J240" s="18">
        <v>60.0</v>
      </c>
      <c r="K240" s="18">
        <v>52.0</v>
      </c>
      <c r="L240" s="18">
        <v>61.0</v>
      </c>
      <c r="M240" s="31">
        <f t="shared" si="1"/>
        <v>61.16666667</v>
      </c>
      <c r="N240" s="30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17">
        <v>43101.0</v>
      </c>
      <c r="B241" s="18">
        <v>57.4</v>
      </c>
      <c r="C241" s="18">
        <v>61.4</v>
      </c>
      <c r="D241" s="18">
        <v>58.7</v>
      </c>
      <c r="E241" s="18">
        <v>55.3</v>
      </c>
      <c r="F241" s="18">
        <v>54.0</v>
      </c>
      <c r="G241" s="18">
        <v>54.5</v>
      </c>
      <c r="H241" s="18">
        <v>60.7</v>
      </c>
      <c r="I241" s="18">
        <v>51.5</v>
      </c>
      <c r="J241" s="18">
        <v>57.0</v>
      </c>
      <c r="K241" s="18">
        <v>52.5</v>
      </c>
      <c r="L241" s="18">
        <v>56.0</v>
      </c>
      <c r="M241" s="31">
        <f t="shared" si="1"/>
        <v>57.8</v>
      </c>
      <c r="N241" s="30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17">
        <v>43132.0</v>
      </c>
      <c r="B242" s="18">
        <v>56.0</v>
      </c>
      <c r="C242" s="18">
        <v>57.8</v>
      </c>
      <c r="D242" s="18">
        <v>54.5</v>
      </c>
      <c r="E242" s="18">
        <v>56.3</v>
      </c>
      <c r="F242" s="18">
        <v>55.5</v>
      </c>
      <c r="G242" s="18">
        <v>53.5</v>
      </c>
      <c r="H242" s="18">
        <v>59.9</v>
      </c>
      <c r="I242" s="18">
        <v>50.0</v>
      </c>
      <c r="J242" s="18">
        <v>56.5</v>
      </c>
      <c r="K242" s="18">
        <v>52.5</v>
      </c>
      <c r="L242" s="18">
        <v>62.5</v>
      </c>
      <c r="M242" s="31">
        <f t="shared" si="1"/>
        <v>56.63333333</v>
      </c>
      <c r="N242" s="30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17">
        <v>43160.0</v>
      </c>
      <c r="B243" s="18">
        <v>59.9</v>
      </c>
      <c r="C243" s="18">
        <v>59.8</v>
      </c>
      <c r="D243" s="18">
        <v>62.7</v>
      </c>
      <c r="E243" s="18">
        <v>61.6</v>
      </c>
      <c r="F243" s="18">
        <v>55.5</v>
      </c>
      <c r="G243" s="18">
        <v>49.0</v>
      </c>
      <c r="H243" s="18">
        <v>61.9</v>
      </c>
      <c r="I243" s="18">
        <v>50.5</v>
      </c>
      <c r="J243" s="18">
        <v>58.0</v>
      </c>
      <c r="K243" s="18">
        <v>54.0</v>
      </c>
      <c r="L243" s="18">
        <v>61.0</v>
      </c>
      <c r="M243" s="31">
        <f t="shared" si="1"/>
        <v>60.03333333</v>
      </c>
      <c r="N243" s="30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17">
        <v>43191.0</v>
      </c>
      <c r="B244" s="18">
        <v>59.5</v>
      </c>
      <c r="C244" s="18">
        <v>62.8</v>
      </c>
      <c r="D244" s="18">
        <v>64.8</v>
      </c>
      <c r="E244" s="18">
        <v>55.0</v>
      </c>
      <c r="F244" s="18">
        <v>55.5</v>
      </c>
      <c r="G244" s="18">
        <v>53.5</v>
      </c>
      <c r="H244" s="18">
        <v>61.0</v>
      </c>
      <c r="I244" s="18">
        <v>56.0</v>
      </c>
      <c r="J244" s="18">
        <v>59.5</v>
      </c>
      <c r="K244" s="18">
        <v>50.0</v>
      </c>
      <c r="L244" s="18">
        <v>61.0</v>
      </c>
      <c r="M244" s="31">
        <f t="shared" si="1"/>
        <v>60.43333333</v>
      </c>
      <c r="N244" s="30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17">
        <v>43221.0</v>
      </c>
      <c r="B245" s="18">
        <v>58.8</v>
      </c>
      <c r="C245" s="18">
        <v>60.6</v>
      </c>
      <c r="D245" s="18">
        <v>59.5</v>
      </c>
      <c r="E245" s="18">
        <v>56.6</v>
      </c>
      <c r="F245" s="18">
        <v>58.5</v>
      </c>
      <c r="G245" s="18">
        <v>53.5</v>
      </c>
      <c r="H245" s="18">
        <v>61.5</v>
      </c>
      <c r="I245" s="18">
        <v>56.5</v>
      </c>
      <c r="J245" s="18">
        <v>58.0</v>
      </c>
      <c r="K245" s="18">
        <v>55.0</v>
      </c>
      <c r="L245" s="18">
        <v>58.5</v>
      </c>
      <c r="M245" s="31">
        <f t="shared" si="1"/>
        <v>59.83333333</v>
      </c>
      <c r="N245" s="30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17">
        <v>43252.0</v>
      </c>
      <c r="B246" s="18">
        <v>56.8</v>
      </c>
      <c r="C246" s="18">
        <v>59.1</v>
      </c>
      <c r="D246" s="18">
        <v>60.0</v>
      </c>
      <c r="E246" s="18">
        <v>53.6</v>
      </c>
      <c r="F246" s="18">
        <v>54.5</v>
      </c>
      <c r="G246" s="18">
        <v>57.0</v>
      </c>
      <c r="H246" s="18">
        <v>61.8</v>
      </c>
      <c r="I246" s="18">
        <v>52.0</v>
      </c>
      <c r="J246" s="18">
        <v>61.5</v>
      </c>
      <c r="K246" s="18">
        <v>54.5</v>
      </c>
      <c r="L246" s="18">
        <v>60.0</v>
      </c>
      <c r="M246" s="31">
        <f t="shared" si="1"/>
        <v>58.76666667</v>
      </c>
      <c r="N246" s="30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17">
        <v>43282.0</v>
      </c>
      <c r="B247" s="18">
        <v>58.6</v>
      </c>
      <c r="C247" s="18">
        <v>61.3</v>
      </c>
      <c r="D247" s="18">
        <v>60.5</v>
      </c>
      <c r="E247" s="18">
        <v>54.1</v>
      </c>
      <c r="F247" s="18">
        <v>58.5</v>
      </c>
      <c r="G247" s="18">
        <v>57.5</v>
      </c>
      <c r="H247" s="18">
        <v>64.3</v>
      </c>
      <c r="I247" s="18">
        <v>60.5</v>
      </c>
      <c r="J247" s="18">
        <v>57.5</v>
      </c>
      <c r="K247" s="18">
        <v>54.0</v>
      </c>
      <c r="L247" s="18">
        <v>61.0</v>
      </c>
      <c r="M247" s="31">
        <f t="shared" si="1"/>
        <v>61.1</v>
      </c>
      <c r="N247" s="30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17">
        <v>43313.0</v>
      </c>
      <c r="B248" s="18">
        <v>59.1</v>
      </c>
      <c r="C248" s="18">
        <v>63.9</v>
      </c>
      <c r="D248" s="18">
        <v>63.2</v>
      </c>
      <c r="E248" s="18">
        <v>53.6</v>
      </c>
      <c r="F248" s="18">
        <v>55.5</v>
      </c>
      <c r="G248" s="18">
        <v>53.5</v>
      </c>
      <c r="H248" s="18">
        <v>60.7</v>
      </c>
      <c r="I248" s="18">
        <v>56.5</v>
      </c>
      <c r="J248" s="18">
        <v>60.5</v>
      </c>
      <c r="K248" s="18">
        <v>51.5</v>
      </c>
      <c r="L248" s="18">
        <v>57.5</v>
      </c>
      <c r="M248" s="31">
        <f t="shared" si="1"/>
        <v>59.8</v>
      </c>
      <c r="N248" s="30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17">
        <v>43344.0</v>
      </c>
      <c r="B249" s="18">
        <v>55.7</v>
      </c>
      <c r="C249" s="18">
        <v>56.5</v>
      </c>
      <c r="D249" s="18">
        <v>57.0</v>
      </c>
      <c r="E249" s="18">
        <v>56.1</v>
      </c>
      <c r="F249" s="18">
        <v>53.0</v>
      </c>
      <c r="G249" s="18">
        <v>53.5</v>
      </c>
      <c r="H249" s="18">
        <v>63.4</v>
      </c>
      <c r="I249" s="18">
        <v>51.5</v>
      </c>
      <c r="J249" s="18">
        <v>58.0</v>
      </c>
      <c r="K249" s="18">
        <v>52.5</v>
      </c>
      <c r="L249" s="18">
        <v>58.0</v>
      </c>
      <c r="M249" s="31">
        <f t="shared" si="1"/>
        <v>57.8</v>
      </c>
      <c r="N249" s="30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17">
        <v>43374.0</v>
      </c>
      <c r="B250" s="18">
        <v>58.5</v>
      </c>
      <c r="C250" s="18">
        <v>60.7</v>
      </c>
      <c r="D250" s="18">
        <v>60.4</v>
      </c>
      <c r="E250" s="18">
        <v>56.7</v>
      </c>
      <c r="F250" s="18">
        <v>56.0</v>
      </c>
      <c r="G250" s="18">
        <v>53.5</v>
      </c>
      <c r="H250" s="18">
        <v>62.8</v>
      </c>
      <c r="I250" s="18">
        <v>56.5</v>
      </c>
      <c r="J250" s="18">
        <v>60.5</v>
      </c>
      <c r="K250" s="18">
        <v>52.0</v>
      </c>
      <c r="L250" s="18">
        <v>59.5</v>
      </c>
      <c r="M250" s="31">
        <f t="shared" si="1"/>
        <v>59.73333333</v>
      </c>
      <c r="N250" s="30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17">
        <v>43405.0</v>
      </c>
      <c r="B251" s="18">
        <v>61.6</v>
      </c>
      <c r="C251" s="18">
        <v>65.2</v>
      </c>
      <c r="D251" s="18">
        <v>61.6</v>
      </c>
      <c r="E251" s="18">
        <v>62.4</v>
      </c>
      <c r="F251" s="18">
        <v>57.0</v>
      </c>
      <c r="G251" s="18">
        <v>54.5</v>
      </c>
      <c r="H251" s="18">
        <v>64.2</v>
      </c>
      <c r="I251" s="18">
        <v>58.5</v>
      </c>
      <c r="J251" s="18">
        <v>61.0</v>
      </c>
      <c r="K251" s="18">
        <v>55.0</v>
      </c>
      <c r="L251" s="18">
        <v>59.5</v>
      </c>
      <c r="M251" s="31">
        <f t="shared" si="1"/>
        <v>60.93333333</v>
      </c>
      <c r="N251" s="30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17">
        <v>43435.0</v>
      </c>
      <c r="B252" s="18">
        <v>60.3</v>
      </c>
      <c r="C252" s="18">
        <v>62.5</v>
      </c>
      <c r="D252" s="18">
        <v>61.5</v>
      </c>
      <c r="E252" s="18">
        <v>59.7</v>
      </c>
      <c r="F252" s="18">
        <v>57.5</v>
      </c>
      <c r="G252" s="18">
        <v>56.0</v>
      </c>
      <c r="H252" s="18">
        <v>61.7</v>
      </c>
      <c r="I252" s="18">
        <v>53.5</v>
      </c>
      <c r="J252" s="18">
        <v>61.0</v>
      </c>
      <c r="K252" s="18">
        <v>51.0</v>
      </c>
      <c r="L252" s="18">
        <v>62.0</v>
      </c>
      <c r="M252" s="31">
        <f t="shared" si="1"/>
        <v>60.23333333</v>
      </c>
      <c r="N252" s="30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17">
        <v>43466.0</v>
      </c>
      <c r="B253" s="18">
        <v>60.7</v>
      </c>
      <c r="C253" s="18">
        <v>65.2</v>
      </c>
      <c r="D253" s="18">
        <v>62.5</v>
      </c>
      <c r="E253" s="18">
        <v>58.4</v>
      </c>
      <c r="F253" s="18">
        <v>56.5</v>
      </c>
      <c r="G253" s="18">
        <v>57.5</v>
      </c>
      <c r="H253" s="18">
        <v>64.3</v>
      </c>
      <c r="I253" s="18">
        <v>55.5</v>
      </c>
      <c r="J253" s="18">
        <v>57.5</v>
      </c>
      <c r="K253" s="18">
        <v>54.5</v>
      </c>
      <c r="L253" s="18">
        <v>60.0</v>
      </c>
      <c r="M253" s="31">
        <f t="shared" si="1"/>
        <v>61.1</v>
      </c>
      <c r="N253" s="30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17">
        <v>43497.0</v>
      </c>
      <c r="B254" s="18">
        <v>57.6</v>
      </c>
      <c r="C254" s="18">
        <v>59.9</v>
      </c>
      <c r="D254" s="18">
        <v>62.7</v>
      </c>
      <c r="E254" s="18">
        <v>56.3</v>
      </c>
      <c r="F254" s="18">
        <v>51.5</v>
      </c>
      <c r="G254" s="18">
        <v>51.5</v>
      </c>
      <c r="H254" s="18">
        <v>57.6</v>
      </c>
      <c r="I254" s="18">
        <v>50.5</v>
      </c>
      <c r="J254" s="18">
        <v>59.5</v>
      </c>
      <c r="K254" s="18">
        <v>53.5</v>
      </c>
      <c r="L254" s="18">
        <v>59.0</v>
      </c>
      <c r="M254" s="31">
        <f t="shared" si="1"/>
        <v>57.26666667</v>
      </c>
      <c r="N254" s="30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17">
        <v>43525.0</v>
      </c>
      <c r="B255" s="18">
        <v>56.7</v>
      </c>
      <c r="C255" s="18">
        <v>59.7</v>
      </c>
      <c r="D255" s="18">
        <v>57.7</v>
      </c>
      <c r="E255" s="18">
        <v>57.8</v>
      </c>
      <c r="F255" s="18">
        <v>51.5</v>
      </c>
      <c r="G255" s="18">
        <v>49.0</v>
      </c>
      <c r="H255" s="18">
        <v>59.4</v>
      </c>
      <c r="I255" s="18">
        <v>52.5</v>
      </c>
      <c r="J255" s="18">
        <v>50.5</v>
      </c>
      <c r="K255" s="18">
        <v>52.0</v>
      </c>
      <c r="L255" s="18">
        <v>60.5</v>
      </c>
      <c r="M255" s="31">
        <f t="shared" si="1"/>
        <v>56.2</v>
      </c>
      <c r="N255" s="30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17">
        <v>43556.0</v>
      </c>
      <c r="B256" s="18">
        <v>59.7</v>
      </c>
      <c r="C256" s="18">
        <v>64.7</v>
      </c>
      <c r="D256" s="18">
        <v>65.2</v>
      </c>
      <c r="E256" s="18">
        <v>55.2</v>
      </c>
      <c r="F256" s="18">
        <v>53.2</v>
      </c>
      <c r="G256" s="18">
        <v>51.0</v>
      </c>
      <c r="H256" s="18">
        <v>54.4</v>
      </c>
      <c r="I256" s="18">
        <v>55.5</v>
      </c>
      <c r="J256" s="18">
        <v>55.0</v>
      </c>
      <c r="K256" s="18">
        <v>48.5</v>
      </c>
      <c r="L256" s="18">
        <v>59.0</v>
      </c>
      <c r="M256" s="31">
        <f t="shared" si="1"/>
        <v>57.6</v>
      </c>
      <c r="N256" s="30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17">
        <v>43586.0</v>
      </c>
      <c r="B257" s="18">
        <v>56.1</v>
      </c>
      <c r="C257" s="18">
        <v>57.4</v>
      </c>
      <c r="D257" s="18">
        <v>59.0</v>
      </c>
      <c r="E257" s="18">
        <v>55.9</v>
      </c>
      <c r="F257" s="18">
        <v>52.0</v>
      </c>
      <c r="G257" s="18">
        <v>50.0</v>
      </c>
      <c r="H257" s="18">
        <v>58.7</v>
      </c>
      <c r="I257" s="18">
        <v>56.5</v>
      </c>
      <c r="J257" s="18">
        <v>52.5</v>
      </c>
      <c r="K257" s="18">
        <v>51.5</v>
      </c>
      <c r="L257" s="18">
        <v>62.5</v>
      </c>
      <c r="M257" s="31">
        <f t="shared" si="1"/>
        <v>56.56666667</v>
      </c>
      <c r="N257" s="30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17">
        <v>43617.0</v>
      </c>
      <c r="B258" s="18">
        <v>55.5</v>
      </c>
      <c r="C258" s="18">
        <v>59.5</v>
      </c>
      <c r="D258" s="18">
        <v>58.1</v>
      </c>
      <c r="E258" s="18">
        <v>53.7</v>
      </c>
      <c r="F258" s="18">
        <v>50.5</v>
      </c>
      <c r="G258" s="18">
        <v>51.5</v>
      </c>
      <c r="H258" s="18">
        <v>55.7</v>
      </c>
      <c r="I258" s="18">
        <v>55.0</v>
      </c>
      <c r="J258" s="18">
        <v>57.0</v>
      </c>
      <c r="K258" s="18">
        <v>55.0</v>
      </c>
      <c r="L258" s="18">
        <v>60.0</v>
      </c>
      <c r="M258" s="31">
        <f t="shared" si="1"/>
        <v>54.76666667</v>
      </c>
      <c r="N258" s="30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17">
        <v>43647.0</v>
      </c>
      <c r="B259" s="18">
        <v>56.9</v>
      </c>
      <c r="C259" s="18">
        <v>61.2</v>
      </c>
      <c r="D259" s="18">
        <v>58.6</v>
      </c>
      <c r="E259" s="18">
        <v>58.1</v>
      </c>
      <c r="F259" s="18">
        <v>49.5</v>
      </c>
      <c r="G259" s="18">
        <v>54.0</v>
      </c>
      <c r="H259" s="18">
        <v>55.4</v>
      </c>
      <c r="I259" s="18">
        <v>52.5</v>
      </c>
      <c r="J259" s="18">
        <v>55.5</v>
      </c>
      <c r="K259" s="18">
        <v>50.0</v>
      </c>
      <c r="L259" s="18">
        <v>58.5</v>
      </c>
      <c r="M259" s="31">
        <f t="shared" si="1"/>
        <v>54.5</v>
      </c>
      <c r="N259" s="30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17">
        <v>43678.0</v>
      </c>
      <c r="B260" s="18">
        <v>55.1</v>
      </c>
      <c r="C260" s="18">
        <v>58.2</v>
      </c>
      <c r="D260" s="18">
        <v>55.8</v>
      </c>
      <c r="E260" s="18">
        <v>55.0</v>
      </c>
      <c r="F260" s="18">
        <v>51.5</v>
      </c>
      <c r="G260" s="18">
        <v>55.0</v>
      </c>
      <c r="H260" s="18">
        <v>58.9</v>
      </c>
      <c r="I260" s="18">
        <v>56.0</v>
      </c>
      <c r="J260" s="18">
        <v>55.5</v>
      </c>
      <c r="K260" s="18">
        <v>50.0</v>
      </c>
      <c r="L260" s="18">
        <v>58.5</v>
      </c>
      <c r="M260" s="31">
        <f t="shared" si="1"/>
        <v>55.4</v>
      </c>
      <c r="N260" s="30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17">
        <v>43709.0</v>
      </c>
      <c r="B261" s="18">
        <v>53.7</v>
      </c>
      <c r="C261" s="18">
        <v>53.1</v>
      </c>
      <c r="D261" s="18">
        <v>54.1</v>
      </c>
      <c r="E261" s="18">
        <v>56.2</v>
      </c>
      <c r="F261" s="18">
        <v>51.5</v>
      </c>
      <c r="G261" s="18">
        <v>50.0</v>
      </c>
      <c r="H261" s="18">
        <v>56.5</v>
      </c>
      <c r="I261" s="18">
        <v>53.5</v>
      </c>
      <c r="J261" s="18">
        <v>53.5</v>
      </c>
      <c r="K261" s="18">
        <v>53.5</v>
      </c>
      <c r="L261" s="18">
        <v>60.5</v>
      </c>
      <c r="M261" s="31">
        <f t="shared" si="1"/>
        <v>54.03333333</v>
      </c>
      <c r="N261" s="30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17">
        <v>43739.0</v>
      </c>
      <c r="B262" s="18">
        <v>56.4</v>
      </c>
      <c r="C262" s="18">
        <v>61.5</v>
      </c>
      <c r="D262" s="18">
        <v>60.3</v>
      </c>
      <c r="E262" s="18">
        <v>53.1</v>
      </c>
      <c r="F262" s="18">
        <v>50.5</v>
      </c>
      <c r="G262" s="18">
        <v>55.0</v>
      </c>
      <c r="H262" s="18">
        <v>58.2</v>
      </c>
      <c r="I262" s="18">
        <v>49.0</v>
      </c>
      <c r="J262" s="18">
        <v>50.5</v>
      </c>
      <c r="K262" s="18">
        <v>50.5</v>
      </c>
      <c r="L262" s="18">
        <v>56.0</v>
      </c>
      <c r="M262" s="31">
        <f t="shared" si="1"/>
        <v>56.33333333</v>
      </c>
      <c r="N262" s="30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17">
        <v>43770.0</v>
      </c>
      <c r="B263" s="18">
        <v>52.6</v>
      </c>
      <c r="C263" s="18">
        <v>55.2</v>
      </c>
      <c r="D263" s="18">
        <v>53.7</v>
      </c>
      <c r="E263" s="18">
        <v>50.4</v>
      </c>
      <c r="F263" s="18">
        <v>51.0</v>
      </c>
      <c r="G263" s="18">
        <v>53.0</v>
      </c>
      <c r="H263" s="18">
        <v>60.0</v>
      </c>
      <c r="I263" s="18">
        <v>54.0</v>
      </c>
      <c r="J263" s="18">
        <v>52.0</v>
      </c>
      <c r="K263" s="18">
        <v>49.0</v>
      </c>
      <c r="L263" s="18">
        <v>58.0</v>
      </c>
      <c r="M263" s="31">
        <f t="shared" si="1"/>
        <v>54.9</v>
      </c>
      <c r="N263" s="30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17">
        <v>43800.0</v>
      </c>
      <c r="B264" s="18">
        <v>54.7</v>
      </c>
      <c r="C264" s="18">
        <v>57.0</v>
      </c>
      <c r="D264" s="18">
        <v>55.6</v>
      </c>
      <c r="E264" s="18">
        <v>53.7</v>
      </c>
      <c r="F264" s="18">
        <v>52.5</v>
      </c>
      <c r="G264" s="18">
        <v>50.5</v>
      </c>
      <c r="H264" s="18">
        <v>56.6</v>
      </c>
      <c r="I264" s="18">
        <v>48.5</v>
      </c>
      <c r="J264" s="18">
        <v>50.0</v>
      </c>
      <c r="K264" s="18">
        <v>48.5</v>
      </c>
      <c r="L264" s="18">
        <v>57.0</v>
      </c>
      <c r="M264" s="31">
        <f t="shared" si="1"/>
        <v>54.9</v>
      </c>
      <c r="N264" s="30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17">
        <v>43831.0</v>
      </c>
      <c r="B265" s="18">
        <v>53.9</v>
      </c>
      <c r="C265" s="18">
        <v>51.6</v>
      </c>
      <c r="D265" s="18">
        <v>57.1</v>
      </c>
      <c r="E265" s="18">
        <v>55.5</v>
      </c>
      <c r="F265" s="18">
        <v>51.5</v>
      </c>
      <c r="G265" s="18">
        <v>50.5</v>
      </c>
      <c r="H265" s="18">
        <v>58.5</v>
      </c>
      <c r="I265" s="18">
        <v>48.5</v>
      </c>
      <c r="J265" s="18">
        <v>52.0</v>
      </c>
      <c r="K265" s="18">
        <v>45.0</v>
      </c>
      <c r="L265" s="18">
        <v>58.5</v>
      </c>
      <c r="M265" s="31">
        <f t="shared" si="1"/>
        <v>55.7</v>
      </c>
      <c r="N265" s="30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17">
        <v>43862.0</v>
      </c>
      <c r="B266" s="18">
        <v>54.9</v>
      </c>
      <c r="C266" s="18">
        <v>57.0</v>
      </c>
      <c r="D266" s="18">
        <v>55.3</v>
      </c>
      <c r="E266" s="18">
        <v>54.8</v>
      </c>
      <c r="F266" s="18">
        <v>52.5</v>
      </c>
      <c r="G266" s="18">
        <v>51.0</v>
      </c>
      <c r="H266" s="18">
        <v>59.3</v>
      </c>
      <c r="I266" s="18">
        <v>47.5</v>
      </c>
      <c r="J266" s="18">
        <v>51.0</v>
      </c>
      <c r="K266" s="18">
        <v>48.0</v>
      </c>
      <c r="L266" s="18">
        <v>60.0</v>
      </c>
      <c r="M266" s="31">
        <f t="shared" si="1"/>
        <v>55.7</v>
      </c>
      <c r="N266" s="30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17">
        <v>43891.0</v>
      </c>
      <c r="B267" s="18">
        <v>55.5</v>
      </c>
      <c r="C267" s="18">
        <v>60.9</v>
      </c>
      <c r="D267" s="18">
        <v>56.2</v>
      </c>
      <c r="E267" s="18">
        <v>53.1</v>
      </c>
      <c r="F267" s="18">
        <v>51.7</v>
      </c>
      <c r="G267" s="18">
        <v>46.5</v>
      </c>
      <c r="H267" s="18">
        <v>55.5</v>
      </c>
      <c r="I267" s="18">
        <v>45.5</v>
      </c>
      <c r="J267" s="18">
        <v>50.1</v>
      </c>
      <c r="K267" s="18">
        <v>55.1</v>
      </c>
      <c r="L267" s="18">
        <v>54.9</v>
      </c>
      <c r="M267" s="31">
        <f t="shared" si="1"/>
        <v>54.46666667</v>
      </c>
      <c r="N267" s="30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17">
        <v>43922.0</v>
      </c>
      <c r="B268" s="18">
        <v>57.3</v>
      </c>
      <c r="C268" s="18">
        <v>57.8</v>
      </c>
      <c r="D268" s="18">
        <v>63.1</v>
      </c>
      <c r="E268" s="18">
        <v>55.6</v>
      </c>
      <c r="F268" s="18">
        <v>52.4</v>
      </c>
      <c r="G268" s="18">
        <v>53.9</v>
      </c>
      <c r="H268" s="18">
        <v>50.8</v>
      </c>
      <c r="I268" s="18">
        <v>53.2</v>
      </c>
      <c r="J268" s="18">
        <v>55.6</v>
      </c>
      <c r="K268" s="18">
        <v>52.6</v>
      </c>
      <c r="L268" s="18">
        <v>59.3</v>
      </c>
      <c r="M268" s="31">
        <f t="shared" si="1"/>
        <v>55.43333333</v>
      </c>
      <c r="N268" s="30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17">
        <v>43952.0</v>
      </c>
      <c r="B269" s="18">
        <v>52.5</v>
      </c>
      <c r="C269" s="18">
        <v>48.0</v>
      </c>
      <c r="D269" s="18">
        <v>52.9</v>
      </c>
      <c r="E269" s="18">
        <v>47.0</v>
      </c>
      <c r="F269" s="18">
        <v>62.1</v>
      </c>
      <c r="G269" s="18">
        <v>41.5</v>
      </c>
      <c r="H269" s="18">
        <v>50.0</v>
      </c>
      <c r="I269" s="18">
        <v>55.0</v>
      </c>
      <c r="J269" s="18">
        <v>45.9</v>
      </c>
      <c r="K269" s="18">
        <v>40.2</v>
      </c>
      <c r="L269" s="18">
        <v>47.8</v>
      </c>
      <c r="M269" s="31">
        <f t="shared" si="1"/>
        <v>55</v>
      </c>
      <c r="N269" s="30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17">
        <v>43983.0</v>
      </c>
      <c r="B270" s="18">
        <v>41.8</v>
      </c>
      <c r="C270" s="18">
        <v>26.0</v>
      </c>
      <c r="D270" s="18">
        <v>32.9</v>
      </c>
      <c r="E270" s="18">
        <v>30.0</v>
      </c>
      <c r="F270" s="18">
        <v>78.3</v>
      </c>
      <c r="G270" s="18">
        <v>46.9</v>
      </c>
      <c r="H270" s="18">
        <v>55.1</v>
      </c>
      <c r="I270" s="18">
        <v>47.7</v>
      </c>
      <c r="J270" s="18">
        <v>36.3</v>
      </c>
      <c r="K270" s="18">
        <v>49.3</v>
      </c>
      <c r="L270" s="18">
        <v>62.6</v>
      </c>
      <c r="M270" s="31">
        <f t="shared" si="1"/>
        <v>55.43333333</v>
      </c>
      <c r="N270" s="30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17">
        <v>44013.0</v>
      </c>
      <c r="B271" s="18">
        <v>45.4</v>
      </c>
      <c r="C271" s="18">
        <v>41.0</v>
      </c>
      <c r="D271" s="18">
        <v>41.9</v>
      </c>
      <c r="E271" s="18">
        <v>31.8</v>
      </c>
      <c r="F271" s="18">
        <v>67.0</v>
      </c>
      <c r="G271" s="18">
        <v>48.0</v>
      </c>
      <c r="H271" s="18">
        <v>55.6</v>
      </c>
      <c r="I271" s="18">
        <v>46.4</v>
      </c>
      <c r="J271" s="18">
        <v>41.5</v>
      </c>
      <c r="K271" s="18">
        <v>43.7</v>
      </c>
      <c r="L271" s="18">
        <v>55.1</v>
      </c>
      <c r="M271" s="31">
        <f t="shared" si="1"/>
        <v>54.83333333</v>
      </c>
      <c r="N271" s="30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17">
        <v>44044.0</v>
      </c>
      <c r="B272" s="18">
        <v>57.1</v>
      </c>
      <c r="C272" s="18">
        <v>66.0</v>
      </c>
      <c r="D272" s="18">
        <v>61.6</v>
      </c>
      <c r="E272" s="18">
        <v>43.1</v>
      </c>
      <c r="F272" s="18">
        <v>57.5</v>
      </c>
      <c r="G272" s="18">
        <v>60.7</v>
      </c>
      <c r="H272" s="18">
        <v>62.4</v>
      </c>
      <c r="I272" s="18">
        <v>51.9</v>
      </c>
      <c r="J272" s="18">
        <v>58.9</v>
      </c>
      <c r="K272" s="18">
        <v>52.9</v>
      </c>
      <c r="L272" s="18">
        <v>55.9</v>
      </c>
      <c r="M272" s="31">
        <f t="shared" si="1"/>
        <v>60.5</v>
      </c>
      <c r="N272" s="30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17">
        <v>44075.0</v>
      </c>
      <c r="B273" s="18">
        <v>58.1</v>
      </c>
      <c r="C273" s="18">
        <v>67.2</v>
      </c>
      <c r="D273" s="18">
        <v>67.7</v>
      </c>
      <c r="E273" s="18">
        <v>42.1</v>
      </c>
      <c r="F273" s="18">
        <v>55.2</v>
      </c>
      <c r="G273" s="18">
        <v>52.0</v>
      </c>
      <c r="H273" s="18">
        <v>57.6</v>
      </c>
      <c r="I273" s="18">
        <v>55.9</v>
      </c>
      <c r="J273" s="18">
        <v>49.3</v>
      </c>
      <c r="K273" s="18">
        <v>46.3</v>
      </c>
      <c r="L273" s="18">
        <v>50.0</v>
      </c>
      <c r="M273" s="31">
        <f t="shared" si="1"/>
        <v>60.16666667</v>
      </c>
      <c r="N273" s="30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17">
        <v>44105.0</v>
      </c>
      <c r="B274" s="18">
        <v>56.9</v>
      </c>
      <c r="C274" s="18">
        <v>62.4</v>
      </c>
      <c r="D274" s="18">
        <v>56.8</v>
      </c>
      <c r="E274" s="18">
        <v>47.9</v>
      </c>
      <c r="F274" s="18">
        <v>60.5</v>
      </c>
      <c r="G274" s="18">
        <v>45.8</v>
      </c>
      <c r="H274" s="18">
        <v>64.2</v>
      </c>
      <c r="I274" s="18">
        <v>56.6</v>
      </c>
      <c r="J274" s="18">
        <v>55.8</v>
      </c>
      <c r="K274" s="18">
        <v>50.8</v>
      </c>
      <c r="L274" s="18">
        <v>52.5</v>
      </c>
      <c r="M274" s="31">
        <f t="shared" si="1"/>
        <v>60.5</v>
      </c>
      <c r="N274" s="30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17">
        <v>44136.0</v>
      </c>
      <c r="B275" s="18">
        <v>57.8</v>
      </c>
      <c r="C275" s="18">
        <v>63.0</v>
      </c>
      <c r="D275" s="18">
        <v>61.5</v>
      </c>
      <c r="E275" s="18">
        <v>51.8</v>
      </c>
      <c r="F275" s="18">
        <v>54.9</v>
      </c>
      <c r="G275" s="18">
        <v>48.8</v>
      </c>
      <c r="H275" s="18">
        <v>59.0</v>
      </c>
      <c r="I275" s="18">
        <v>50.1</v>
      </c>
      <c r="J275" s="18">
        <v>52.6</v>
      </c>
      <c r="K275" s="18">
        <v>46.6</v>
      </c>
      <c r="L275" s="18">
        <v>55.4</v>
      </c>
      <c r="M275" s="31">
        <f t="shared" si="1"/>
        <v>58.46666667</v>
      </c>
      <c r="N275" s="30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17">
        <v>44166.0</v>
      </c>
      <c r="B276" s="18">
        <v>56.6</v>
      </c>
      <c r="C276" s="18">
        <v>61.2</v>
      </c>
      <c r="D276" s="18">
        <v>58.8</v>
      </c>
      <c r="E276" s="18">
        <v>50.1</v>
      </c>
      <c r="F276" s="18">
        <v>56.2</v>
      </c>
      <c r="G276" s="18">
        <v>53.1</v>
      </c>
      <c r="H276" s="18">
        <v>63.9</v>
      </c>
      <c r="I276" s="18">
        <v>54.4</v>
      </c>
      <c r="J276" s="18">
        <v>53.7</v>
      </c>
      <c r="K276" s="18">
        <v>52.5</v>
      </c>
      <c r="L276" s="18">
        <v>51.1</v>
      </c>
      <c r="M276" s="31">
        <f t="shared" si="1"/>
        <v>59.63333333</v>
      </c>
      <c r="N276" s="30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17">
        <v>44197.0</v>
      </c>
      <c r="B277" s="18">
        <v>55.9</v>
      </c>
      <c r="C277" s="18">
        <v>58.0</v>
      </c>
      <c r="D277" s="18">
        <v>57.2</v>
      </c>
      <c r="E277" s="18">
        <v>51.5</v>
      </c>
      <c r="F277" s="18">
        <v>57.0</v>
      </c>
      <c r="G277" s="18">
        <v>49.3</v>
      </c>
      <c r="H277" s="18">
        <v>66.1</v>
      </c>
      <c r="I277" s="18">
        <v>50.7</v>
      </c>
      <c r="J277" s="18">
        <v>50.4</v>
      </c>
      <c r="K277" s="18">
        <v>55.0</v>
      </c>
      <c r="L277" s="18">
        <v>49.9</v>
      </c>
      <c r="M277" s="31">
        <f t="shared" si="1"/>
        <v>60.1</v>
      </c>
      <c r="N277" s="30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17">
        <v>44228.0</v>
      </c>
      <c r="B278" s="18">
        <v>57.7</v>
      </c>
      <c r="C278" s="18">
        <v>59.4</v>
      </c>
      <c r="D278" s="18">
        <v>58.6</v>
      </c>
      <c r="E278" s="18">
        <v>48.7</v>
      </c>
      <c r="F278" s="18">
        <v>62.8</v>
      </c>
      <c r="G278" s="18">
        <v>58.2</v>
      </c>
      <c r="H278" s="18">
        <v>64.8</v>
      </c>
      <c r="I278" s="18">
        <v>48.7</v>
      </c>
      <c r="J278" s="18">
        <v>57.3</v>
      </c>
      <c r="K278" s="18">
        <v>51.8</v>
      </c>
      <c r="L278" s="18">
        <v>47.7</v>
      </c>
      <c r="M278" s="31">
        <f t="shared" si="1"/>
        <v>62.06666667</v>
      </c>
      <c r="N278" s="30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17">
        <v>44256.0</v>
      </c>
      <c r="B279" s="18">
        <v>58.7</v>
      </c>
      <c r="C279" s="18">
        <v>59.9</v>
      </c>
      <c r="D279" s="18">
        <v>61.8</v>
      </c>
      <c r="E279" s="18">
        <v>55.2</v>
      </c>
      <c r="F279" s="18">
        <v>57.8</v>
      </c>
      <c r="G279" s="18">
        <v>49.2</v>
      </c>
      <c r="H279" s="18">
        <v>64.2</v>
      </c>
      <c r="I279" s="18">
        <v>50.9</v>
      </c>
      <c r="J279" s="18">
        <v>47.0</v>
      </c>
      <c r="K279" s="18">
        <v>53.5</v>
      </c>
      <c r="L279" s="18">
        <v>49.7</v>
      </c>
      <c r="M279" s="31">
        <f t="shared" si="1"/>
        <v>61.26666667</v>
      </c>
      <c r="N279" s="30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17">
        <v>44287.0</v>
      </c>
      <c r="B280" s="18">
        <v>55.3</v>
      </c>
      <c r="C280" s="18">
        <v>55.5</v>
      </c>
      <c r="D280" s="18">
        <v>51.9</v>
      </c>
      <c r="E280" s="18">
        <v>52.7</v>
      </c>
      <c r="F280" s="18">
        <v>60.8</v>
      </c>
      <c r="G280" s="18">
        <v>58.9</v>
      </c>
      <c r="H280" s="18">
        <v>71.8</v>
      </c>
      <c r="I280" s="18">
        <v>55.2</v>
      </c>
      <c r="J280" s="18">
        <v>57.6</v>
      </c>
      <c r="K280" s="18">
        <v>50.5</v>
      </c>
      <c r="L280" s="18">
        <v>54.3</v>
      </c>
      <c r="M280" s="31">
        <f t="shared" si="1"/>
        <v>61.5</v>
      </c>
      <c r="N280" s="30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17">
        <v>44317.0</v>
      </c>
      <c r="B281" s="18">
        <v>63.7</v>
      </c>
      <c r="C281" s="18">
        <v>69.4</v>
      </c>
      <c r="D281" s="18">
        <v>67.2</v>
      </c>
      <c r="E281" s="18">
        <v>57.2</v>
      </c>
      <c r="F281" s="18">
        <v>61.0</v>
      </c>
      <c r="G281" s="18">
        <v>54.0</v>
      </c>
      <c r="H281" s="18">
        <v>74.0</v>
      </c>
      <c r="I281" s="18">
        <v>50.2</v>
      </c>
      <c r="J281" s="18">
        <v>55.5</v>
      </c>
      <c r="K281" s="18">
        <v>50.7</v>
      </c>
      <c r="L281" s="18">
        <v>52.7</v>
      </c>
      <c r="M281" s="31">
        <f t="shared" si="1"/>
        <v>67.4</v>
      </c>
      <c r="N281" s="30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17">
        <v>44348.0</v>
      </c>
      <c r="B282" s="18">
        <v>62.7</v>
      </c>
      <c r="C282" s="18">
        <v>62.7</v>
      </c>
      <c r="D282" s="18">
        <v>63.2</v>
      </c>
      <c r="E282" s="18">
        <v>58.8</v>
      </c>
      <c r="F282" s="18">
        <v>66.1</v>
      </c>
      <c r="G282" s="18">
        <v>49.1</v>
      </c>
      <c r="H282" s="18">
        <v>76.8</v>
      </c>
      <c r="I282" s="18">
        <v>55.7</v>
      </c>
      <c r="J282" s="18">
        <v>58.6</v>
      </c>
      <c r="K282" s="18">
        <v>55.7</v>
      </c>
      <c r="L282" s="18">
        <v>46.8</v>
      </c>
      <c r="M282" s="31">
        <f t="shared" si="1"/>
        <v>68.7</v>
      </c>
      <c r="N282" s="30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17">
        <v>44378.0</v>
      </c>
      <c r="B283" s="18">
        <v>64.0</v>
      </c>
      <c r="C283" s="18">
        <v>66.2</v>
      </c>
      <c r="D283" s="18">
        <v>63.9</v>
      </c>
      <c r="E283" s="18">
        <v>55.3</v>
      </c>
      <c r="F283" s="18">
        <v>70.4</v>
      </c>
      <c r="G283" s="18">
        <v>51.5</v>
      </c>
      <c r="H283" s="18">
        <v>80.6</v>
      </c>
      <c r="I283" s="18">
        <v>61.1</v>
      </c>
      <c r="J283" s="18">
        <v>60.0</v>
      </c>
      <c r="K283" s="18">
        <v>50.4</v>
      </c>
      <c r="L283" s="18">
        <v>40.5</v>
      </c>
      <c r="M283" s="31">
        <f t="shared" si="1"/>
        <v>71.63333333</v>
      </c>
      <c r="N283" s="30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17">
        <v>44409.0</v>
      </c>
      <c r="B284" s="18">
        <v>60.1</v>
      </c>
      <c r="C284" s="18">
        <v>60.4</v>
      </c>
      <c r="D284" s="18">
        <v>62.1</v>
      </c>
      <c r="E284" s="18">
        <v>49.3</v>
      </c>
      <c r="F284" s="18">
        <v>68.5</v>
      </c>
      <c r="G284" s="18">
        <v>49.9</v>
      </c>
      <c r="H284" s="18">
        <v>79.5</v>
      </c>
      <c r="I284" s="18">
        <v>65.8</v>
      </c>
      <c r="J284" s="18">
        <v>50.7</v>
      </c>
      <c r="K284" s="18">
        <v>58.2</v>
      </c>
      <c r="L284" s="18">
        <v>37.2</v>
      </c>
      <c r="M284" s="31">
        <f t="shared" si="1"/>
        <v>70.03333333</v>
      </c>
      <c r="N284" s="30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17">
        <v>44440.0</v>
      </c>
      <c r="B285" s="18">
        <v>64.1</v>
      </c>
      <c r="C285" s="18">
        <v>67.0</v>
      </c>
      <c r="D285" s="18">
        <v>63.7</v>
      </c>
      <c r="E285" s="18">
        <v>53.8</v>
      </c>
      <c r="F285" s="18">
        <v>72.0</v>
      </c>
      <c r="G285" s="18">
        <v>49.2</v>
      </c>
      <c r="H285" s="18">
        <v>82.3</v>
      </c>
      <c r="I285" s="18">
        <v>63.5</v>
      </c>
      <c r="J285" s="18">
        <v>65.8</v>
      </c>
      <c r="K285" s="18">
        <v>51.6</v>
      </c>
      <c r="L285" s="18">
        <v>40.3</v>
      </c>
      <c r="M285" s="31">
        <f t="shared" si="1"/>
        <v>72.66666667</v>
      </c>
      <c r="N285" s="30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17">
        <v>44470.0</v>
      </c>
      <c r="B286" s="18">
        <v>61.7</v>
      </c>
      <c r="C286" s="18">
        <v>60.1</v>
      </c>
      <c r="D286" s="18">
        <v>63.2</v>
      </c>
      <c r="E286" s="18">
        <v>53.7</v>
      </c>
      <c r="F286" s="18">
        <v>69.6</v>
      </c>
      <c r="G286" s="18">
        <v>46.9</v>
      </c>
      <c r="H286" s="18">
        <v>75.4</v>
      </c>
      <c r="I286" s="18">
        <v>61.3</v>
      </c>
      <c r="J286" s="18">
        <v>60.6</v>
      </c>
      <c r="K286" s="18">
        <v>48.7</v>
      </c>
      <c r="L286" s="18">
        <v>41.4</v>
      </c>
      <c r="M286" s="31">
        <f t="shared" si="1"/>
        <v>69.4</v>
      </c>
      <c r="N286" s="30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17">
        <v>44501.0</v>
      </c>
      <c r="B287" s="18">
        <v>61.9</v>
      </c>
      <c r="C287" s="18">
        <v>62.3</v>
      </c>
      <c r="D287" s="18">
        <v>63.5</v>
      </c>
      <c r="E287" s="18">
        <v>53.0</v>
      </c>
      <c r="F287" s="18">
        <v>68.8</v>
      </c>
      <c r="G287" s="18">
        <v>46.1</v>
      </c>
      <c r="H287" s="18">
        <v>77.5</v>
      </c>
      <c r="I287" s="18">
        <v>61.9</v>
      </c>
      <c r="J287" s="18">
        <v>59.5</v>
      </c>
      <c r="K287" s="18">
        <v>47.7</v>
      </c>
      <c r="L287" s="18">
        <v>46.3</v>
      </c>
      <c r="M287" s="31">
        <f t="shared" si="1"/>
        <v>69.93333333</v>
      </c>
      <c r="N287" s="30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17">
        <v>44531.0</v>
      </c>
      <c r="B288" s="18">
        <v>66.7</v>
      </c>
      <c r="C288" s="18">
        <v>69.8</v>
      </c>
      <c r="D288" s="18">
        <v>69.7</v>
      </c>
      <c r="E288" s="18">
        <v>51.6</v>
      </c>
      <c r="F288" s="18">
        <v>75.7</v>
      </c>
      <c r="G288" s="18">
        <v>42.2</v>
      </c>
      <c r="H288" s="18">
        <v>82.9</v>
      </c>
      <c r="I288" s="18">
        <v>67.3</v>
      </c>
      <c r="J288" s="18">
        <v>62.3</v>
      </c>
      <c r="K288" s="18">
        <v>53.3</v>
      </c>
      <c r="L288" s="18">
        <v>37.3</v>
      </c>
      <c r="M288" s="31">
        <f t="shared" si="1"/>
        <v>76.1</v>
      </c>
      <c r="N288" s="30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17">
        <v>44562.0</v>
      </c>
      <c r="B289" s="18">
        <v>68.4</v>
      </c>
      <c r="C289" s="18">
        <v>68.5</v>
      </c>
      <c r="D289" s="18">
        <v>65.0</v>
      </c>
      <c r="E289" s="18">
        <v>53.0</v>
      </c>
      <c r="F289" s="18">
        <v>74.0</v>
      </c>
      <c r="G289" s="18">
        <v>43.0</v>
      </c>
      <c r="H289" s="18">
        <v>82.9</v>
      </c>
      <c r="I289" s="18">
        <v>65.0</v>
      </c>
      <c r="J289" s="18">
        <v>61.0</v>
      </c>
      <c r="K289" s="18">
        <v>53.0</v>
      </c>
      <c r="L289" s="18">
        <v>37.0</v>
      </c>
      <c r="M289" s="31">
        <f t="shared" si="1"/>
        <v>73.96666667</v>
      </c>
      <c r="N289" s="30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17">
        <v>44593.0</v>
      </c>
      <c r="B290" s="18">
        <v>62.3</v>
      </c>
      <c r="C290" s="18">
        <v>68.3</v>
      </c>
      <c r="D290" s="18">
        <v>62.1</v>
      </c>
      <c r="E290" s="18">
        <v>54.7</v>
      </c>
      <c r="F290" s="18">
        <v>63.9</v>
      </c>
      <c r="G290" s="18">
        <v>46.7</v>
      </c>
      <c r="H290" s="18">
        <v>83.9</v>
      </c>
      <c r="I290" s="18">
        <v>62.3</v>
      </c>
      <c r="J290" s="18">
        <v>61.5</v>
      </c>
      <c r="K290" s="18">
        <v>55.5</v>
      </c>
      <c r="L290" s="18">
        <v>38.3</v>
      </c>
      <c r="M290" s="31">
        <f t="shared" si="1"/>
        <v>69.96666667</v>
      </c>
      <c r="N290" s="30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17">
        <v>44621.0</v>
      </c>
      <c r="B291" s="18">
        <v>59.9</v>
      </c>
      <c r="C291" s="18">
        <v>59.9</v>
      </c>
      <c r="D291" s="18">
        <v>61.7</v>
      </c>
      <c r="E291" s="18">
        <v>52.3</v>
      </c>
      <c r="F291" s="18">
        <v>65.7</v>
      </c>
      <c r="G291" s="18">
        <v>49.4</v>
      </c>
      <c r="H291" s="18">
        <v>82.3</v>
      </c>
      <c r="I291" s="18">
        <v>57.4</v>
      </c>
      <c r="J291" s="18">
        <v>45.9</v>
      </c>
      <c r="K291" s="18">
        <v>51.1</v>
      </c>
      <c r="L291" s="18">
        <v>47.5</v>
      </c>
      <c r="M291" s="31">
        <f t="shared" si="1"/>
        <v>69.9</v>
      </c>
      <c r="N291" s="30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17">
        <v>44652.0</v>
      </c>
      <c r="B292" s="18">
        <v>56.5</v>
      </c>
      <c r="C292" s="18">
        <v>55.1</v>
      </c>
      <c r="D292" s="18">
        <v>56.1</v>
      </c>
      <c r="E292" s="18">
        <v>48.5</v>
      </c>
      <c r="F292" s="18">
        <v>66.2</v>
      </c>
      <c r="G292" s="18">
        <v>50.8</v>
      </c>
      <c r="H292" s="18">
        <v>83.1</v>
      </c>
      <c r="I292" s="18">
        <v>64.2</v>
      </c>
      <c r="J292" s="18">
        <v>53.0</v>
      </c>
      <c r="K292" s="18">
        <v>51.7</v>
      </c>
      <c r="L292" s="18">
        <v>55.3</v>
      </c>
      <c r="M292" s="31">
        <f t="shared" si="1"/>
        <v>68.46666667</v>
      </c>
      <c r="N292" s="30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17">
        <v>44682.0</v>
      </c>
      <c r="B293" s="18">
        <v>58.3</v>
      </c>
      <c r="C293" s="18">
        <v>55.5</v>
      </c>
      <c r="D293" s="18">
        <v>60.1</v>
      </c>
      <c r="E293" s="18">
        <v>54.0</v>
      </c>
      <c r="F293" s="18">
        <v>63.4</v>
      </c>
      <c r="G293" s="18">
        <v>51.7</v>
      </c>
      <c r="H293" s="18">
        <v>83.8</v>
      </c>
      <c r="I293" s="18">
        <v>64.5</v>
      </c>
      <c r="J293" s="18">
        <v>61.0</v>
      </c>
      <c r="K293" s="18">
        <v>45.0</v>
      </c>
      <c r="L293" s="18">
        <v>40.2</v>
      </c>
      <c r="M293" s="31">
        <f t="shared" si="1"/>
        <v>69.1</v>
      </c>
      <c r="N293" s="30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17">
        <v>44713.0</v>
      </c>
      <c r="B294" s="18">
        <v>57.1</v>
      </c>
      <c r="C294" s="18">
        <v>59.1</v>
      </c>
      <c r="D294" s="18">
        <v>54.6</v>
      </c>
      <c r="E294" s="18">
        <v>49.5</v>
      </c>
      <c r="F294" s="18">
        <v>65.1</v>
      </c>
      <c r="G294" s="18">
        <v>52.3</v>
      </c>
      <c r="H294" s="18">
        <v>84.6</v>
      </c>
      <c r="I294" s="18">
        <v>59.4</v>
      </c>
      <c r="J294" s="18">
        <v>58.1</v>
      </c>
      <c r="K294" s="18">
        <v>52.9</v>
      </c>
      <c r="L294" s="18">
        <v>46.7</v>
      </c>
      <c r="M294" s="31">
        <f t="shared" si="1"/>
        <v>68.1</v>
      </c>
      <c r="N294" s="30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17">
        <v>44743.0</v>
      </c>
      <c r="B295" s="18">
        <v>55.9</v>
      </c>
      <c r="C295" s="18">
        <v>54.5</v>
      </c>
      <c r="D295" s="18">
        <v>57.6</v>
      </c>
      <c r="E295" s="18">
        <v>50.2</v>
      </c>
      <c r="F295" s="18">
        <v>61.3</v>
      </c>
      <c r="G295" s="18">
        <v>51.0</v>
      </c>
      <c r="H295" s="18">
        <v>82.1</v>
      </c>
      <c r="I295" s="18">
        <v>52.0</v>
      </c>
      <c r="J295" s="18">
        <v>60.9</v>
      </c>
      <c r="K295" s="18">
        <v>52.8</v>
      </c>
      <c r="L295" s="18">
        <v>44.5</v>
      </c>
      <c r="M295" s="31">
        <f t="shared" si="1"/>
        <v>67</v>
      </c>
      <c r="N295" s="30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17">
        <v>44774.0</v>
      </c>
      <c r="B296" s="18">
        <v>55.3</v>
      </c>
      <c r="C296" s="18">
        <v>56.1</v>
      </c>
      <c r="D296" s="18">
        <v>55.6</v>
      </c>
      <c r="E296" s="18">
        <v>47.4</v>
      </c>
      <c r="F296" s="18">
        <v>61.9</v>
      </c>
      <c r="G296" s="18">
        <v>47.5</v>
      </c>
      <c r="H296" s="18">
        <v>80.1</v>
      </c>
      <c r="I296" s="18">
        <v>60.5</v>
      </c>
      <c r="J296" s="18">
        <v>57.5</v>
      </c>
      <c r="K296" s="18">
        <v>46.3</v>
      </c>
      <c r="L296" s="18">
        <v>46.2</v>
      </c>
      <c r="M296" s="31">
        <f t="shared" si="1"/>
        <v>65.86666667</v>
      </c>
      <c r="N296" s="30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17">
        <v>44805.0</v>
      </c>
      <c r="B297" s="18">
        <v>56.7</v>
      </c>
      <c r="C297" s="18">
        <v>59.9</v>
      </c>
      <c r="D297" s="18">
        <v>59.9</v>
      </c>
      <c r="E297" s="18">
        <v>49.1</v>
      </c>
      <c r="F297" s="18">
        <v>57.8</v>
      </c>
      <c r="G297" s="18">
        <v>45.0</v>
      </c>
      <c r="H297" s="18">
        <v>72.3</v>
      </c>
      <c r="I297" s="18">
        <v>58.3</v>
      </c>
      <c r="J297" s="18">
        <v>59.5</v>
      </c>
      <c r="K297" s="18">
        <v>48.0</v>
      </c>
      <c r="L297" s="18">
        <v>50.1</v>
      </c>
      <c r="M297" s="31">
        <f t="shared" si="1"/>
        <v>63.33333333</v>
      </c>
      <c r="N297" s="30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17">
        <v>44835.0</v>
      </c>
      <c r="B298" s="18">
        <v>56.9</v>
      </c>
      <c r="C298" s="18">
        <v>60.9</v>
      </c>
      <c r="D298" s="18">
        <v>61.8</v>
      </c>
      <c r="E298" s="18">
        <v>50.2</v>
      </c>
      <c r="F298" s="18">
        <v>54.4</v>
      </c>
      <c r="G298" s="18">
        <v>46.2</v>
      </c>
      <c r="H298" s="18">
        <v>71.5</v>
      </c>
      <c r="I298" s="18">
        <v>53.9</v>
      </c>
      <c r="J298" s="18">
        <v>61.9</v>
      </c>
      <c r="K298" s="18">
        <v>48.2</v>
      </c>
      <c r="L298" s="18">
        <v>47.1</v>
      </c>
      <c r="M298" s="31">
        <f t="shared" si="1"/>
        <v>62.56666667</v>
      </c>
      <c r="N298" s="30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17">
        <v>44866.0</v>
      </c>
      <c r="B299" s="18">
        <v>56.7</v>
      </c>
      <c r="C299" s="18">
        <v>59.1</v>
      </c>
      <c r="D299" s="18">
        <v>60.6</v>
      </c>
      <c r="E299" s="18">
        <v>53.0</v>
      </c>
      <c r="F299" s="18">
        <v>53.9</v>
      </c>
      <c r="G299" s="18">
        <v>44.1</v>
      </c>
      <c r="H299" s="18">
        <v>68.7</v>
      </c>
      <c r="I299" s="18">
        <v>52.5</v>
      </c>
      <c r="J299" s="18">
        <v>65.1</v>
      </c>
      <c r="K299" s="18">
        <v>51.3</v>
      </c>
      <c r="L299" s="18">
        <v>47.2</v>
      </c>
      <c r="M299" s="31">
        <f t="shared" si="1"/>
        <v>61.06666667</v>
      </c>
      <c r="N299" s="30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17">
        <v>44896.0</v>
      </c>
      <c r="B300" s="18">
        <v>54.4</v>
      </c>
      <c r="C300" s="18">
        <v>55.7</v>
      </c>
      <c r="D300" s="18">
        <v>56.5</v>
      </c>
      <c r="E300" s="18">
        <v>49.1</v>
      </c>
      <c r="F300" s="18">
        <v>56.2</v>
      </c>
      <c r="G300" s="18">
        <v>47.2</v>
      </c>
      <c r="H300" s="18">
        <v>70.7</v>
      </c>
      <c r="I300" s="18">
        <v>52.2</v>
      </c>
      <c r="J300" s="18">
        <v>47.7</v>
      </c>
      <c r="K300" s="18">
        <v>50.4</v>
      </c>
      <c r="L300" s="18">
        <v>46.4</v>
      </c>
      <c r="M300" s="31">
        <f t="shared" si="1"/>
        <v>61.13333333</v>
      </c>
      <c r="N300" s="30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17">
        <v>44927.0</v>
      </c>
      <c r="B301" s="18">
        <v>56.5</v>
      </c>
      <c r="C301" s="18">
        <v>64.7</v>
      </c>
      <c r="D301" s="18">
        <v>56.0</v>
      </c>
      <c r="E301" s="18">
        <v>51.5</v>
      </c>
      <c r="F301" s="18">
        <v>53.8</v>
      </c>
      <c r="G301" s="18">
        <v>47.9</v>
      </c>
      <c r="H301" s="18">
        <v>70.0</v>
      </c>
      <c r="I301" s="18">
        <v>51.8</v>
      </c>
      <c r="J301" s="18">
        <v>38.4</v>
      </c>
      <c r="K301" s="18">
        <v>59.5</v>
      </c>
      <c r="L301" s="18">
        <v>44.2</v>
      </c>
      <c r="M301" s="31">
        <f t="shared" si="1"/>
        <v>59.93333333</v>
      </c>
      <c r="N301" s="30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17">
        <v>44958.0</v>
      </c>
      <c r="B302" s="18">
        <v>49.2</v>
      </c>
      <c r="C302" s="18">
        <v>53.5</v>
      </c>
      <c r="D302" s="18">
        <v>45.2</v>
      </c>
      <c r="E302" s="18">
        <v>49.4</v>
      </c>
      <c r="F302" s="18">
        <v>48.5</v>
      </c>
      <c r="G302" s="18">
        <v>45.1</v>
      </c>
      <c r="H302" s="18">
        <v>68.1</v>
      </c>
      <c r="I302" s="18">
        <v>51.5</v>
      </c>
      <c r="J302" s="18">
        <v>47.7</v>
      </c>
      <c r="K302" s="18">
        <v>52.7</v>
      </c>
      <c r="L302" s="18">
        <v>55.9</v>
      </c>
      <c r="M302" s="31">
        <f t="shared" si="1"/>
        <v>53.93333333</v>
      </c>
      <c r="N302" s="30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17">
        <v>44986.0</v>
      </c>
      <c r="B303" s="18">
        <v>55.2</v>
      </c>
      <c r="C303" s="18">
        <v>60.4</v>
      </c>
      <c r="D303" s="18">
        <v>60.4</v>
      </c>
      <c r="E303" s="18">
        <v>50.0</v>
      </c>
      <c r="F303" s="18">
        <v>50.0</v>
      </c>
      <c r="G303" s="18">
        <v>49.2</v>
      </c>
      <c r="H303" s="18">
        <v>67.8</v>
      </c>
      <c r="I303" s="18">
        <v>52.9</v>
      </c>
      <c r="J303" s="18">
        <v>59.0</v>
      </c>
      <c r="K303" s="18">
        <v>53.0</v>
      </c>
      <c r="L303" s="18">
        <v>55.8</v>
      </c>
      <c r="M303" s="31">
        <f t="shared" si="1"/>
        <v>59.4</v>
      </c>
      <c r="N303" s="30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17">
        <v>45017.0</v>
      </c>
      <c r="B304" s="18">
        <v>55.1</v>
      </c>
      <c r="C304" s="18">
        <v>56.3</v>
      </c>
      <c r="D304" s="18">
        <v>62.6</v>
      </c>
      <c r="E304" s="18">
        <v>54.0</v>
      </c>
      <c r="F304" s="18">
        <v>47.6</v>
      </c>
      <c r="G304" s="18">
        <v>50.6</v>
      </c>
      <c r="H304" s="18">
        <v>65.6</v>
      </c>
      <c r="I304" s="18">
        <v>52.8</v>
      </c>
      <c r="J304" s="18">
        <v>61.7</v>
      </c>
      <c r="K304" s="18">
        <v>52.6</v>
      </c>
      <c r="L304" s="18">
        <v>55.3</v>
      </c>
      <c r="M304" s="31">
        <f t="shared" si="1"/>
        <v>58.6</v>
      </c>
      <c r="N304" s="30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17">
        <v>45047.0</v>
      </c>
      <c r="B305" s="20">
        <v>51.2</v>
      </c>
      <c r="C305" s="20">
        <v>55.4</v>
      </c>
      <c r="D305" s="20">
        <v>52.2</v>
      </c>
      <c r="E305" s="20">
        <v>51.3</v>
      </c>
      <c r="F305" s="20">
        <v>45.8</v>
      </c>
      <c r="G305" s="20">
        <v>52.8</v>
      </c>
      <c r="H305" s="20">
        <v>59.5</v>
      </c>
      <c r="I305" s="20">
        <v>48.5</v>
      </c>
      <c r="J305" s="20">
        <v>43.7</v>
      </c>
      <c r="K305" s="20">
        <v>43.6</v>
      </c>
      <c r="L305" s="20">
        <v>57.9</v>
      </c>
      <c r="M305" s="31">
        <f t="shared" si="1"/>
        <v>52.5</v>
      </c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17">
        <v>45078.0</v>
      </c>
      <c r="B306" s="18">
        <v>51.9</v>
      </c>
      <c r="C306" s="18">
        <v>52.0</v>
      </c>
      <c r="D306" s="18">
        <v>56.1</v>
      </c>
      <c r="E306" s="18">
        <v>50.8</v>
      </c>
      <c r="F306" s="18">
        <v>48.6</v>
      </c>
      <c r="G306" s="18">
        <v>47.2</v>
      </c>
      <c r="H306" s="18">
        <v>59.6</v>
      </c>
      <c r="I306" s="18">
        <v>49.7</v>
      </c>
      <c r="J306" s="18">
        <v>60.9</v>
      </c>
      <c r="K306" s="18">
        <v>51.3</v>
      </c>
      <c r="L306" s="18">
        <v>48.9</v>
      </c>
      <c r="M306" s="31">
        <f t="shared" si="1"/>
        <v>54.76666667</v>
      </c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17">
        <v>45108.0</v>
      </c>
      <c r="B307" s="20">
        <v>50.3</v>
      </c>
      <c r="C307" s="20">
        <v>51.5</v>
      </c>
      <c r="D307" s="20">
        <v>52.9</v>
      </c>
      <c r="E307" s="20">
        <v>49.2</v>
      </c>
      <c r="F307" s="20">
        <v>47.7</v>
      </c>
      <c r="G307" s="20">
        <v>58.3</v>
      </c>
      <c r="H307" s="20">
        <v>56.2</v>
      </c>
      <c r="I307" s="20">
        <v>40.9</v>
      </c>
      <c r="J307" s="20">
        <v>59.0</v>
      </c>
      <c r="K307" s="20">
        <v>50.0</v>
      </c>
      <c r="L307" s="20">
        <v>61.0</v>
      </c>
      <c r="M307" s="31">
        <f t="shared" si="1"/>
        <v>52.26666667</v>
      </c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17">
        <v>45139.0</v>
      </c>
      <c r="B308" s="20">
        <v>53.9</v>
      </c>
      <c r="C308" s="20">
        <v>59.2</v>
      </c>
      <c r="D308" s="20">
        <v>55.5</v>
      </c>
      <c r="E308" s="20">
        <v>53.1</v>
      </c>
      <c r="F308" s="20">
        <v>47.6</v>
      </c>
      <c r="G308" s="20">
        <v>55.9</v>
      </c>
      <c r="H308" s="20">
        <v>54.1</v>
      </c>
      <c r="I308" s="20">
        <v>43.9</v>
      </c>
      <c r="J308" s="20">
        <v>61.5</v>
      </c>
      <c r="K308" s="20">
        <v>54.6</v>
      </c>
      <c r="L308" s="20">
        <v>54.0</v>
      </c>
      <c r="M308" s="31">
        <f t="shared" si="1"/>
        <v>52.4</v>
      </c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17">
        <v>45170.0</v>
      </c>
      <c r="B309" s="20">
        <v>52.7</v>
      </c>
      <c r="C309" s="20">
        <v>57.1</v>
      </c>
      <c r="D309" s="20">
        <v>55.0</v>
      </c>
      <c r="E309" s="20">
        <v>50.7</v>
      </c>
      <c r="F309" s="20">
        <v>48.1</v>
      </c>
      <c r="G309" s="20">
        <v>50.4</v>
      </c>
      <c r="H309" s="20">
        <v>56.8</v>
      </c>
      <c r="I309" s="20">
        <v>52.1</v>
      </c>
      <c r="J309" s="20">
        <v>61.1</v>
      </c>
      <c r="K309" s="20">
        <v>52.3</v>
      </c>
      <c r="L309" s="20">
        <v>56.6</v>
      </c>
      <c r="M309" s="31">
        <f t="shared" si="1"/>
        <v>53.3</v>
      </c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17">
        <v>45200.0</v>
      </c>
      <c r="B310" s="18">
        <v>54.5</v>
      </c>
      <c r="C310" s="18">
        <v>57.3</v>
      </c>
      <c r="D310" s="18">
        <v>57.5</v>
      </c>
      <c r="E310" s="18">
        <v>54.7</v>
      </c>
      <c r="F310" s="18">
        <v>48.5</v>
      </c>
      <c r="G310" s="18">
        <v>57.7</v>
      </c>
      <c r="H310" s="18">
        <v>58.9</v>
      </c>
      <c r="I310" s="18">
        <v>41.8</v>
      </c>
      <c r="J310" s="18">
        <v>62.1</v>
      </c>
      <c r="K310" s="18">
        <v>52.3</v>
      </c>
      <c r="L310" s="18">
        <v>61.5</v>
      </c>
      <c r="M310" s="31">
        <f t="shared" si="1"/>
        <v>54.96666667</v>
      </c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17">
        <v>45231.0</v>
      </c>
      <c r="B311" s="18">
        <v>53.6</v>
      </c>
      <c r="C311" s="18">
        <v>58.8</v>
      </c>
      <c r="D311" s="18">
        <v>51.8</v>
      </c>
      <c r="E311" s="18">
        <v>53.4</v>
      </c>
      <c r="F311" s="18">
        <v>50.4</v>
      </c>
      <c r="G311" s="18">
        <v>54.2</v>
      </c>
      <c r="H311" s="18">
        <v>58.9</v>
      </c>
      <c r="I311" s="18">
        <v>48.6</v>
      </c>
      <c r="J311" s="18">
        <v>63.7</v>
      </c>
      <c r="K311" s="18">
        <v>50.6</v>
      </c>
      <c r="L311" s="18">
        <v>54.8</v>
      </c>
      <c r="M311" s="31">
        <f t="shared" si="1"/>
        <v>53.7</v>
      </c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17">
        <v>45261.0</v>
      </c>
      <c r="B312" s="18">
        <v>51.8</v>
      </c>
      <c r="C312" s="18">
        <v>54.1</v>
      </c>
      <c r="D312" s="18">
        <v>55.5</v>
      </c>
      <c r="E312" s="18">
        <v>50.2</v>
      </c>
      <c r="F312" s="18">
        <v>47.5</v>
      </c>
      <c r="G312" s="18">
        <v>49.5</v>
      </c>
      <c r="H312" s="18">
        <v>58.6</v>
      </c>
      <c r="I312" s="18">
        <v>50.9</v>
      </c>
      <c r="J312" s="18">
        <v>48.8</v>
      </c>
      <c r="K312" s="18">
        <v>60.0</v>
      </c>
      <c r="L312" s="18">
        <v>54.4</v>
      </c>
      <c r="M312" s="31">
        <f t="shared" si="1"/>
        <v>53.86666667</v>
      </c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17">
        <v>45292.0</v>
      </c>
      <c r="B313" s="18">
        <v>52.7</v>
      </c>
      <c r="C313" s="18">
        <v>55.1</v>
      </c>
      <c r="D313" s="18">
        <v>55.5</v>
      </c>
      <c r="E313" s="18">
        <v>50.7</v>
      </c>
      <c r="F313" s="18">
        <v>49.6</v>
      </c>
      <c r="G313" s="18">
        <v>55.4</v>
      </c>
      <c r="H313" s="18">
        <v>58.3</v>
      </c>
      <c r="I313" s="18">
        <v>49.1</v>
      </c>
      <c r="J313" s="18">
        <v>53.6</v>
      </c>
      <c r="K313" s="18">
        <v>53.7</v>
      </c>
      <c r="L313" s="18">
        <v>62.2</v>
      </c>
      <c r="M313" s="31">
        <f t="shared" si="1"/>
        <v>54.46666667</v>
      </c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17">
        <v>45323.0</v>
      </c>
      <c r="B314" s="20">
        <v>50.6</v>
      </c>
      <c r="C314" s="20">
        <v>56.6</v>
      </c>
      <c r="D314" s="20">
        <v>52.8</v>
      </c>
      <c r="E314" s="20">
        <v>43.3</v>
      </c>
      <c r="F314" s="20">
        <v>49.5</v>
      </c>
      <c r="G314" s="20">
        <v>49.6</v>
      </c>
      <c r="H314" s="20">
        <v>57.4</v>
      </c>
      <c r="I314" s="20">
        <v>49.4</v>
      </c>
      <c r="J314" s="20">
        <v>50.4</v>
      </c>
      <c r="K314" s="20">
        <v>49.3</v>
      </c>
      <c r="L314" s="20">
        <v>55.3</v>
      </c>
      <c r="M314" s="31">
        <f t="shared" si="1"/>
        <v>53.23333333</v>
      </c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17">
        <v>45352.0</v>
      </c>
      <c r="B315" s="18">
        <v>52.6</v>
      </c>
      <c r="C315" s="18">
        <v>57.2</v>
      </c>
      <c r="D315" s="18">
        <v>56.1</v>
      </c>
      <c r="E315" s="18">
        <v>48.0</v>
      </c>
      <c r="F315" s="18">
        <v>48.9</v>
      </c>
      <c r="G315" s="18">
        <v>47.1</v>
      </c>
      <c r="H315" s="18">
        <v>58.6</v>
      </c>
      <c r="I315" s="18">
        <v>50.3</v>
      </c>
      <c r="J315" s="18">
        <v>51.6</v>
      </c>
      <c r="K315" s="18">
        <v>54.3</v>
      </c>
      <c r="L315" s="18">
        <v>56.7</v>
      </c>
      <c r="M315" s="31">
        <f t="shared" si="1"/>
        <v>54.53333333</v>
      </c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17">
        <v>45383.0</v>
      </c>
      <c r="B316" s="18">
        <v>51.0</v>
      </c>
      <c r="C316" s="18">
        <v>57.4</v>
      </c>
      <c r="D316" s="18">
        <v>54.4</v>
      </c>
      <c r="E316" s="18">
        <v>48.5</v>
      </c>
      <c r="F316" s="18">
        <v>45.4</v>
      </c>
      <c r="G316" s="18">
        <v>45.6</v>
      </c>
      <c r="H316" s="18">
        <v>53.4</v>
      </c>
      <c r="I316" s="18">
        <v>44.8</v>
      </c>
      <c r="J316" s="18">
        <v>52.7</v>
      </c>
      <c r="K316" s="18">
        <v>52.4</v>
      </c>
      <c r="L316" s="18">
        <v>55.7</v>
      </c>
      <c r="M316" s="31">
        <f t="shared" si="1"/>
        <v>51.06666667</v>
      </c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17">
        <v>45413.0</v>
      </c>
      <c r="B317" s="18">
        <v>49.4</v>
      </c>
      <c r="C317" s="18">
        <v>50.9</v>
      </c>
      <c r="D317" s="18">
        <v>52.2</v>
      </c>
      <c r="E317" s="18">
        <v>45.9</v>
      </c>
      <c r="F317" s="18">
        <v>48.5</v>
      </c>
      <c r="G317" s="18">
        <v>53.7</v>
      </c>
      <c r="H317" s="18">
        <v>59.2</v>
      </c>
      <c r="I317" s="18">
        <v>51.1</v>
      </c>
      <c r="J317" s="18">
        <v>47.9</v>
      </c>
      <c r="K317" s="18">
        <v>53.6</v>
      </c>
      <c r="L317" s="18">
        <v>62.9</v>
      </c>
      <c r="M317" s="31">
        <f t="shared" si="1"/>
        <v>53.3</v>
      </c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17">
        <v>45444.0</v>
      </c>
      <c r="B318" s="18">
        <v>53.8</v>
      </c>
      <c r="C318" s="18">
        <v>61.2</v>
      </c>
      <c r="D318" s="18">
        <v>54.1</v>
      </c>
      <c r="E318" s="18">
        <v>47.1</v>
      </c>
      <c r="F318" s="18">
        <v>52.7</v>
      </c>
      <c r="G318" s="18">
        <v>52.1</v>
      </c>
      <c r="H318" s="18">
        <v>58.1</v>
      </c>
      <c r="I318" s="18">
        <v>50.8</v>
      </c>
      <c r="J318" s="18">
        <v>61.8</v>
      </c>
      <c r="K318" s="18">
        <v>42.8</v>
      </c>
      <c r="L318" s="18">
        <v>57.7</v>
      </c>
      <c r="M318" s="31">
        <f t="shared" si="1"/>
        <v>54.96666667</v>
      </c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17">
        <v>45474.0</v>
      </c>
      <c r="B319" s="20">
        <v>48.8</v>
      </c>
      <c r="C319" s="20">
        <v>49.6</v>
      </c>
      <c r="D319" s="20">
        <v>47.3</v>
      </c>
      <c r="E319" s="20">
        <v>46.1</v>
      </c>
      <c r="F319" s="20">
        <v>52.2</v>
      </c>
      <c r="G319" s="20">
        <v>42.9</v>
      </c>
      <c r="H319" s="20">
        <v>56.3</v>
      </c>
      <c r="I319" s="20">
        <v>44.0</v>
      </c>
      <c r="J319" s="20">
        <v>51.7</v>
      </c>
      <c r="K319" s="20">
        <v>44.0</v>
      </c>
      <c r="L319" s="20">
        <v>64.1</v>
      </c>
      <c r="M319" s="31">
        <f t="shared" si="1"/>
        <v>51.93333333</v>
      </c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17">
        <v>45505.0</v>
      </c>
      <c r="B320" s="20">
        <v>51.5</v>
      </c>
      <c r="C320" s="20">
        <v>54.5</v>
      </c>
      <c r="D320" s="20">
        <v>52.4</v>
      </c>
      <c r="E320" s="20">
        <v>51.1</v>
      </c>
      <c r="F320" s="20">
        <v>47.6</v>
      </c>
      <c r="G320" s="20">
        <v>49.8</v>
      </c>
      <c r="H320" s="20">
        <v>57.0</v>
      </c>
      <c r="I320" s="20">
        <v>50.6</v>
      </c>
      <c r="J320" s="20">
        <v>58.5</v>
      </c>
      <c r="K320" s="20">
        <v>53.3</v>
      </c>
      <c r="L320" s="20">
        <v>63.2</v>
      </c>
      <c r="M320" s="31">
        <f t="shared" si="1"/>
        <v>52.33333333</v>
      </c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17">
        <v>45536.0</v>
      </c>
      <c r="B321" s="18">
        <v>51.5</v>
      </c>
      <c r="C321" s="18">
        <v>53.3</v>
      </c>
      <c r="D321" s="18">
        <v>53.0</v>
      </c>
      <c r="E321" s="18">
        <v>50.2</v>
      </c>
      <c r="F321" s="18">
        <v>49.6</v>
      </c>
      <c r="G321" s="18">
        <v>52.9</v>
      </c>
      <c r="H321" s="18">
        <v>57.3</v>
      </c>
      <c r="I321" s="18">
        <v>43.7</v>
      </c>
      <c r="J321" s="18">
        <v>50.9</v>
      </c>
      <c r="K321" s="18">
        <v>50.3</v>
      </c>
      <c r="L321" s="18">
        <v>54.9</v>
      </c>
      <c r="M321" s="31">
        <f t="shared" si="1"/>
        <v>53.3</v>
      </c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17">
        <v>45566.0</v>
      </c>
      <c r="B322" s="20">
        <v>54.9</v>
      </c>
      <c r="C322" s="20">
        <v>59.9</v>
      </c>
      <c r="D322" s="20">
        <v>59.4</v>
      </c>
      <c r="E322" s="20">
        <v>48.1</v>
      </c>
      <c r="F322" s="20">
        <v>52.1</v>
      </c>
      <c r="G322" s="20">
        <v>58.1</v>
      </c>
      <c r="H322" s="20">
        <v>59.4</v>
      </c>
      <c r="I322" s="20">
        <v>48.3</v>
      </c>
      <c r="J322" s="20">
        <v>56.7</v>
      </c>
      <c r="K322" s="20">
        <v>52.7</v>
      </c>
      <c r="L322" s="20">
        <v>54.0</v>
      </c>
      <c r="M322" s="31">
        <f t="shared" si="1"/>
        <v>56.96666667</v>
      </c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17">
        <v>45597.0</v>
      </c>
      <c r="B323" s="18">
        <v>56.0</v>
      </c>
      <c r="C323" s="18">
        <v>57.2</v>
      </c>
      <c r="D323" s="18">
        <v>57.4</v>
      </c>
      <c r="E323" s="18">
        <v>53.0</v>
      </c>
      <c r="F323" s="18">
        <v>56.4</v>
      </c>
      <c r="G323" s="18">
        <v>57.2</v>
      </c>
      <c r="H323" s="18">
        <v>58.1</v>
      </c>
      <c r="I323" s="18">
        <v>47.7</v>
      </c>
      <c r="J323" s="18">
        <v>51.7</v>
      </c>
      <c r="K323" s="18">
        <v>50.2</v>
      </c>
      <c r="L323" s="18">
        <v>53.0</v>
      </c>
      <c r="M323" s="31">
        <f t="shared" si="1"/>
        <v>57.3</v>
      </c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19">
        <v>45627.0</v>
      </c>
      <c r="B324" s="20">
        <v>52.1</v>
      </c>
      <c r="C324" s="20">
        <v>53.7</v>
      </c>
      <c r="D324" s="20">
        <v>53.7</v>
      </c>
      <c r="E324" s="20">
        <v>51.5</v>
      </c>
      <c r="F324" s="20">
        <v>49.5</v>
      </c>
      <c r="G324" s="20">
        <v>45.9</v>
      </c>
      <c r="H324" s="20">
        <v>58.2</v>
      </c>
      <c r="I324" s="20">
        <v>47.1</v>
      </c>
      <c r="J324" s="20">
        <v>49.6</v>
      </c>
      <c r="K324" s="20">
        <v>53.8</v>
      </c>
      <c r="L324" s="20">
        <v>54.6</v>
      </c>
      <c r="M324" s="31">
        <f t="shared" si="1"/>
        <v>53.8</v>
      </c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17">
        <v>45658.0</v>
      </c>
      <c r="B325" s="18">
        <v>54.1</v>
      </c>
      <c r="C325" s="18">
        <v>58.2</v>
      </c>
      <c r="D325" s="18">
        <v>54.2</v>
      </c>
      <c r="E325" s="18">
        <v>51.4</v>
      </c>
      <c r="F325" s="18">
        <v>52.5</v>
      </c>
      <c r="G325" s="18">
        <v>49.4</v>
      </c>
      <c r="H325" s="18">
        <v>64.4</v>
      </c>
      <c r="I325" s="18">
        <v>44.3</v>
      </c>
      <c r="J325" s="18">
        <v>50.1</v>
      </c>
      <c r="K325" s="18">
        <v>50.7</v>
      </c>
      <c r="L325" s="18">
        <v>53.4</v>
      </c>
      <c r="M325" s="31">
        <f t="shared" si="1"/>
        <v>57.03333333</v>
      </c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19">
        <v>45689.0</v>
      </c>
      <c r="B326" s="18">
        <v>52.8</v>
      </c>
      <c r="C326" s="18">
        <v>54.5</v>
      </c>
      <c r="D326" s="18">
        <v>51.3</v>
      </c>
      <c r="E326" s="18">
        <v>52.3</v>
      </c>
      <c r="F326" s="18">
        <v>53.0</v>
      </c>
      <c r="G326" s="18">
        <v>47.5</v>
      </c>
      <c r="H326" s="18">
        <v>60.4</v>
      </c>
      <c r="I326" s="18">
        <v>44.8</v>
      </c>
      <c r="J326" s="18">
        <v>52.0</v>
      </c>
      <c r="K326" s="18">
        <v>49.8</v>
      </c>
      <c r="L326" s="18">
        <v>53.5</v>
      </c>
      <c r="M326" s="31">
        <f t="shared" si="1"/>
        <v>54.9</v>
      </c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19">
        <v>45717.0</v>
      </c>
      <c r="B327" s="20">
        <v>53.5</v>
      </c>
      <c r="C327" s="20">
        <v>54.4</v>
      </c>
      <c r="D327" s="20">
        <v>52.2</v>
      </c>
      <c r="E327" s="20">
        <v>53.9</v>
      </c>
      <c r="F327" s="20">
        <v>53.4</v>
      </c>
      <c r="G327" s="20">
        <v>50.6</v>
      </c>
      <c r="H327" s="20">
        <v>62.6</v>
      </c>
      <c r="I327" s="20">
        <v>51.7</v>
      </c>
      <c r="J327" s="20">
        <v>52.1</v>
      </c>
      <c r="K327" s="20">
        <v>49.6</v>
      </c>
      <c r="L327" s="20">
        <v>54.7</v>
      </c>
      <c r="M327" s="31">
        <f t="shared" si="1"/>
        <v>56.06666667</v>
      </c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19">
        <v>45748.0</v>
      </c>
      <c r="B328" s="18">
        <v>50.8</v>
      </c>
      <c r="C328" s="18">
        <v>55.9</v>
      </c>
      <c r="D328" s="18">
        <v>50.4</v>
      </c>
      <c r="E328" s="18">
        <v>46.2</v>
      </c>
      <c r="F328" s="18">
        <v>50.6</v>
      </c>
      <c r="G328" s="18">
        <v>50.3</v>
      </c>
      <c r="H328" s="18">
        <v>60.9</v>
      </c>
      <c r="I328" s="18">
        <v>47.4</v>
      </c>
      <c r="J328" s="18">
        <v>45.8</v>
      </c>
      <c r="K328" s="18">
        <v>52.6</v>
      </c>
      <c r="L328" s="18">
        <v>56.6</v>
      </c>
      <c r="M328" s="31">
        <f t="shared" si="1"/>
        <v>53.96666667</v>
      </c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19">
        <v>45778.0</v>
      </c>
      <c r="B329" s="20">
        <v>51.6</v>
      </c>
      <c r="C329" s="20">
        <v>53.7</v>
      </c>
      <c r="D329" s="20">
        <v>52.3</v>
      </c>
      <c r="E329" s="20">
        <v>49.0</v>
      </c>
      <c r="F329" s="20">
        <v>51.3</v>
      </c>
      <c r="G329" s="20">
        <v>53.4</v>
      </c>
      <c r="H329" s="20">
        <v>65.1</v>
      </c>
      <c r="I329" s="20">
        <v>48.0</v>
      </c>
      <c r="J329" s="20">
        <v>48.6</v>
      </c>
      <c r="K329" s="20">
        <v>44.3</v>
      </c>
      <c r="L329" s="20">
        <v>56.1</v>
      </c>
      <c r="M329" s="31">
        <f t="shared" si="1"/>
        <v>56.23333333</v>
      </c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19">
        <v>45809.0</v>
      </c>
      <c r="B330" s="18">
        <v>49.9</v>
      </c>
      <c r="C330" s="18">
        <v>50.0</v>
      </c>
      <c r="D330" s="18">
        <v>46.4</v>
      </c>
      <c r="E330" s="18">
        <v>52.7</v>
      </c>
      <c r="F330" s="18">
        <v>52.5</v>
      </c>
      <c r="G330" s="18">
        <v>49.7</v>
      </c>
      <c r="H330" s="18">
        <v>68.7</v>
      </c>
      <c r="I330" s="18">
        <v>43.4</v>
      </c>
      <c r="J330" s="18">
        <v>48.5</v>
      </c>
      <c r="K330" s="18">
        <v>48.2</v>
      </c>
      <c r="L330" s="18">
        <v>62.9</v>
      </c>
      <c r="M330" s="31">
        <f t="shared" si="1"/>
        <v>55.86666667</v>
      </c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19">
        <v>45839.0</v>
      </c>
      <c r="B331" s="18">
        <v>50.8</v>
      </c>
      <c r="C331" s="18">
        <v>54.2</v>
      </c>
      <c r="D331" s="18">
        <v>51.3</v>
      </c>
      <c r="E331" s="18">
        <v>47.2</v>
      </c>
      <c r="F331" s="18">
        <v>50.3</v>
      </c>
      <c r="G331" s="18">
        <v>52.7</v>
      </c>
      <c r="H331" s="18">
        <v>67.5</v>
      </c>
      <c r="I331" s="18">
        <v>42.4</v>
      </c>
      <c r="J331" s="18">
        <v>51.1</v>
      </c>
      <c r="K331" s="18">
        <v>51.7</v>
      </c>
      <c r="L331" s="18">
        <v>57.1</v>
      </c>
      <c r="M331" s="31">
        <f t="shared" si="1"/>
        <v>56.36666667</v>
      </c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19">
        <v>45870.0</v>
      </c>
      <c r="B332" s="18">
        <v>50.1</v>
      </c>
      <c r="C332" s="18">
        <v>52.6</v>
      </c>
      <c r="D332" s="18">
        <v>50.3</v>
      </c>
      <c r="E332" s="18">
        <v>46.4</v>
      </c>
      <c r="F332" s="18">
        <v>51.0</v>
      </c>
      <c r="G332" s="18">
        <v>51.8</v>
      </c>
      <c r="H332" s="18">
        <v>69.9</v>
      </c>
      <c r="I332" s="18">
        <v>44.3</v>
      </c>
      <c r="J332" s="18">
        <v>47.9</v>
      </c>
      <c r="K332" s="18">
        <v>45.9</v>
      </c>
      <c r="L332" s="18">
        <v>53.2</v>
      </c>
      <c r="M332" s="31">
        <f t="shared" si="1"/>
        <v>57.06666667</v>
      </c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19">
        <v>45901.0</v>
      </c>
      <c r="B333" s="18">
        <v>52.0</v>
      </c>
      <c r="C333" s="18">
        <v>55.0</v>
      </c>
      <c r="D333" s="18">
        <v>56.0</v>
      </c>
      <c r="E333" s="18">
        <v>46.5</v>
      </c>
      <c r="F333" s="18">
        <v>50.3</v>
      </c>
      <c r="G333" s="18">
        <v>53.2</v>
      </c>
      <c r="H333" s="18">
        <v>69.2</v>
      </c>
      <c r="I333" s="18">
        <v>40.4</v>
      </c>
      <c r="J333" s="18">
        <v>47.3</v>
      </c>
      <c r="K333" s="18">
        <v>54.6</v>
      </c>
      <c r="L333" s="18">
        <v>55.5</v>
      </c>
      <c r="M333" s="31">
        <f t="shared" si="1"/>
        <v>58.5</v>
      </c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19">
        <v>45931.0</v>
      </c>
      <c r="B334" s="18">
        <v>50.0</v>
      </c>
      <c r="C334" s="18">
        <v>49.9</v>
      </c>
      <c r="D334" s="18">
        <v>50.4</v>
      </c>
      <c r="E334" s="18">
        <v>47.2</v>
      </c>
      <c r="F334" s="18">
        <v>52.6</v>
      </c>
      <c r="G334" s="18">
        <v>47.8</v>
      </c>
      <c r="H334" s="18">
        <v>69.4</v>
      </c>
      <c r="I334" s="18">
        <v>47.3</v>
      </c>
      <c r="J334" s="18">
        <v>46.5</v>
      </c>
      <c r="K334" s="18">
        <v>69.2</v>
      </c>
      <c r="L334" s="18">
        <v>55.7</v>
      </c>
      <c r="M334" s="31">
        <f t="shared" si="1"/>
        <v>57.46666667</v>
      </c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19">
        <v>45962.0</v>
      </c>
      <c r="B335" s="20">
        <v>52.4</v>
      </c>
      <c r="C335" s="20">
        <v>54.3</v>
      </c>
      <c r="D335" s="20">
        <v>56.2</v>
      </c>
      <c r="E335" s="20">
        <v>48.2</v>
      </c>
      <c r="F335" s="20">
        <v>50.8</v>
      </c>
      <c r="G335" s="20">
        <v>49.5</v>
      </c>
      <c r="H335" s="20">
        <v>70.0</v>
      </c>
      <c r="I335" s="20">
        <v>40.8</v>
      </c>
      <c r="J335" s="20">
        <v>47.8</v>
      </c>
      <c r="K335" s="20">
        <v>43.7</v>
      </c>
      <c r="L335" s="20">
        <v>55.5</v>
      </c>
      <c r="M335" s="31">
        <f t="shared" si="1"/>
        <v>59</v>
      </c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19">
        <v>45992.0</v>
      </c>
      <c r="B336" s="33">
        <v>52.6</v>
      </c>
      <c r="C336" s="33">
        <v>54.5</v>
      </c>
      <c r="D336" s="33">
        <v>52.9</v>
      </c>
      <c r="E336" s="33">
        <v>48.9</v>
      </c>
      <c r="F336" s="33">
        <v>54.1</v>
      </c>
      <c r="G336" s="33">
        <v>53.4</v>
      </c>
      <c r="H336" s="33">
        <v>65.4</v>
      </c>
      <c r="I336" s="33">
        <v>49.1</v>
      </c>
      <c r="J336" s="33">
        <v>48.7</v>
      </c>
      <c r="K336" s="33">
        <v>48.9</v>
      </c>
      <c r="L336" s="33">
        <v>54.8</v>
      </c>
      <c r="M336" s="34">
        <f t="shared" si="1"/>
        <v>57.46666667</v>
      </c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35">
        <v>46023.0</v>
      </c>
      <c r="B337" s="36">
        <v>53.8</v>
      </c>
      <c r="C337" s="36">
        <v>55.2</v>
      </c>
      <c r="D337" s="36">
        <v>56.5</v>
      </c>
      <c r="E337" s="36">
        <v>51.7</v>
      </c>
      <c r="F337" s="36">
        <v>51.8</v>
      </c>
      <c r="G337" s="36">
        <v>54.2</v>
      </c>
      <c r="H337" s="28">
        <v>65.1</v>
      </c>
      <c r="I337" s="36">
        <v>42.6</v>
      </c>
      <c r="J337" s="28">
        <v>54.2</v>
      </c>
      <c r="K337" s="28">
        <v>50.3</v>
      </c>
      <c r="L337" s="28">
        <v>54.1</v>
      </c>
      <c r="M337" s="37">
        <f t="shared" si="1"/>
        <v>57.8</v>
      </c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35">
        <v>46054.0</v>
      </c>
      <c r="B338" s="36">
        <v>53.8</v>
      </c>
      <c r="C338" s="36">
        <v>57.4</v>
      </c>
      <c r="D338" s="36">
        <v>53.1</v>
      </c>
      <c r="E338" s="36">
        <v>50.3</v>
      </c>
      <c r="F338" s="36">
        <v>54.2</v>
      </c>
      <c r="G338" s="36">
        <v>45.1</v>
      </c>
      <c r="H338" s="28">
        <v>66.6</v>
      </c>
      <c r="I338" s="36">
        <v>44.0</v>
      </c>
      <c r="J338" s="28">
        <v>45.0</v>
      </c>
      <c r="K338" s="28">
        <v>48.2</v>
      </c>
      <c r="L338" s="28">
        <v>54.3</v>
      </c>
      <c r="M338" s="37">
        <f t="shared" si="1"/>
        <v>57.96666667</v>
      </c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35">
        <v>46082.0</v>
      </c>
      <c r="B339" s="36">
        <v>56.1</v>
      </c>
      <c r="C339" s="36">
        <v>59.9</v>
      </c>
      <c r="D339" s="36">
        <v>58.6</v>
      </c>
      <c r="E339" s="36">
        <v>51.8</v>
      </c>
      <c r="F339" s="36">
        <v>53.9</v>
      </c>
      <c r="G339" s="36">
        <v>56.4</v>
      </c>
      <c r="H339" s="28">
        <v>63.0</v>
      </c>
      <c r="I339" s="36">
        <v>55.9</v>
      </c>
      <c r="J339" s="28">
        <v>57.2</v>
      </c>
      <c r="K339" s="28">
        <v>51.8</v>
      </c>
      <c r="L339" s="28">
        <v>55.3</v>
      </c>
      <c r="M339" s="37">
        <f t="shared" si="1"/>
        <v>58.5</v>
      </c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35">
        <v>46113.0</v>
      </c>
      <c r="B340" s="36">
        <v>54.0</v>
      </c>
      <c r="C340" s="36">
        <v>53.9</v>
      </c>
      <c r="D340" s="36">
        <v>60.6</v>
      </c>
      <c r="E340" s="36">
        <v>45.2</v>
      </c>
      <c r="F340" s="36">
        <v>56.2</v>
      </c>
      <c r="G340" s="36">
        <v>54.8</v>
      </c>
      <c r="H340" s="28">
        <v>70.7</v>
      </c>
      <c r="I340" s="36">
        <v>53.6</v>
      </c>
      <c r="J340" s="28">
        <v>50.7</v>
      </c>
      <c r="K340" s="28">
        <v>55.2</v>
      </c>
      <c r="L340" s="28">
        <v>54.3</v>
      </c>
      <c r="M340" s="37">
        <f t="shared" si="1"/>
        <v>62.5</v>
      </c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35">
        <v>46143.0</v>
      </c>
      <c r="B341" s="36">
        <v>53.6</v>
      </c>
      <c r="C341" s="36">
        <v>55.9</v>
      </c>
      <c r="D341" s="36">
        <v>53.5</v>
      </c>
      <c r="E341" s="36">
        <v>48.0</v>
      </c>
      <c r="F341" s="36">
        <v>56.8</v>
      </c>
      <c r="G341" s="36">
        <v>53.1</v>
      </c>
      <c r="H341" s="28">
        <v>70.7</v>
      </c>
      <c r="I341" s="36">
        <v>53.0</v>
      </c>
      <c r="J341" s="28">
        <v>52.1</v>
      </c>
      <c r="K341" s="28">
        <v>54.7</v>
      </c>
      <c r="L341" s="28">
        <v>55.1</v>
      </c>
      <c r="M341" s="37">
        <f t="shared" si="1"/>
        <v>60.33333333</v>
      </c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38">
        <v>46174.0</v>
      </c>
      <c r="B342" s="36">
        <v>54.5</v>
      </c>
      <c r="C342" s="36">
        <v>57.7</v>
      </c>
      <c r="D342" s="36">
        <v>57.3</v>
      </c>
      <c r="E342" s="36">
        <v>47.9</v>
      </c>
      <c r="F342" s="36">
        <v>55.2</v>
      </c>
      <c r="G342" s="36">
        <v>62.5</v>
      </c>
      <c r="H342" s="28">
        <v>71.3</v>
      </c>
      <c r="I342" s="36">
        <v>51.3</v>
      </c>
      <c r="J342" s="28">
        <v>50.0</v>
      </c>
      <c r="K342" s="28">
        <v>51.1</v>
      </c>
      <c r="L342" s="28">
        <v>55.2</v>
      </c>
      <c r="M342" s="37">
        <f t="shared" si="1"/>
        <v>61.26666667</v>
      </c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3">
        <v>46204.0</v>
      </c>
      <c r="B343" s="39">
        <v>54.0</v>
      </c>
      <c r="C343" s="39">
        <v>55.4</v>
      </c>
      <c r="D343" s="39">
        <v>55.1</v>
      </c>
      <c r="E343" s="39">
        <v>51.2</v>
      </c>
      <c r="F343" s="39">
        <v>54.4</v>
      </c>
      <c r="G343" s="39">
        <v>51.2</v>
      </c>
      <c r="H343" s="40">
        <v>67.7</v>
      </c>
      <c r="I343" s="39">
        <v>54.9</v>
      </c>
      <c r="J343" s="40">
        <v>50.4</v>
      </c>
      <c r="K343" s="40">
        <v>49.4</v>
      </c>
      <c r="L343" s="40">
        <v>52.6</v>
      </c>
      <c r="M343" s="37">
        <f t="shared" si="1"/>
        <v>59.06666667</v>
      </c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41"/>
      <c r="B344" s="36"/>
      <c r="C344" s="36"/>
      <c r="D344" s="36"/>
      <c r="E344" s="36"/>
      <c r="F344" s="36"/>
      <c r="G344" s="36"/>
      <c r="H344" s="28"/>
      <c r="I344" s="36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41"/>
      <c r="B345" s="36"/>
      <c r="C345" s="36"/>
      <c r="D345" s="36"/>
      <c r="E345" s="36"/>
      <c r="F345" s="36"/>
      <c r="G345" s="36"/>
      <c r="H345" s="28"/>
      <c r="I345" s="36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41"/>
      <c r="B346" s="36"/>
      <c r="C346" s="36"/>
      <c r="D346" s="36"/>
      <c r="E346" s="36"/>
      <c r="F346" s="36"/>
      <c r="G346" s="36"/>
      <c r="H346" s="28"/>
      <c r="I346" s="36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41"/>
      <c r="B347" s="36"/>
      <c r="C347" s="36"/>
      <c r="D347" s="36"/>
      <c r="E347" s="36"/>
      <c r="F347" s="36"/>
      <c r="G347" s="36"/>
      <c r="H347" s="28"/>
      <c r="I347" s="36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41"/>
      <c r="B348" s="36"/>
      <c r="C348" s="36"/>
      <c r="D348" s="36"/>
      <c r="E348" s="36"/>
      <c r="F348" s="36"/>
      <c r="G348" s="36"/>
      <c r="H348" s="28"/>
      <c r="I348" s="36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41"/>
      <c r="B349" s="36"/>
      <c r="C349" s="36"/>
      <c r="D349" s="36"/>
      <c r="E349" s="36"/>
      <c r="F349" s="36"/>
      <c r="G349" s="36"/>
      <c r="H349" s="28"/>
      <c r="I349" s="36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41"/>
      <c r="B350" s="36"/>
      <c r="C350" s="36"/>
      <c r="D350" s="36"/>
      <c r="E350" s="36"/>
      <c r="F350" s="36"/>
      <c r="G350" s="36"/>
      <c r="H350" s="28"/>
      <c r="I350" s="36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41"/>
      <c r="B351" s="36"/>
      <c r="C351" s="36"/>
      <c r="D351" s="36"/>
      <c r="E351" s="36"/>
      <c r="F351" s="36"/>
      <c r="G351" s="36"/>
      <c r="H351" s="28"/>
      <c r="I351" s="36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41"/>
      <c r="B352" s="36"/>
      <c r="C352" s="36"/>
      <c r="D352" s="36"/>
      <c r="E352" s="36"/>
      <c r="F352" s="36"/>
      <c r="G352" s="36"/>
      <c r="H352" s="28"/>
      <c r="I352" s="36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41"/>
      <c r="B353" s="36"/>
      <c r="C353" s="36"/>
      <c r="D353" s="36"/>
      <c r="E353" s="36"/>
      <c r="F353" s="36"/>
      <c r="G353" s="36"/>
      <c r="H353" s="28"/>
      <c r="I353" s="36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41"/>
      <c r="B354" s="36"/>
      <c r="C354" s="36"/>
      <c r="D354" s="36"/>
      <c r="E354" s="36"/>
      <c r="F354" s="36"/>
      <c r="G354" s="36"/>
      <c r="H354" s="28"/>
      <c r="I354" s="36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41"/>
      <c r="B355" s="36"/>
      <c r="C355" s="36"/>
      <c r="D355" s="36"/>
      <c r="E355" s="36"/>
      <c r="F355" s="36"/>
      <c r="G355" s="36"/>
      <c r="H355" s="28"/>
      <c r="I355" s="36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41"/>
      <c r="B356" s="36"/>
      <c r="C356" s="36"/>
      <c r="D356" s="36"/>
      <c r="E356" s="36"/>
      <c r="F356" s="36"/>
      <c r="G356" s="36"/>
      <c r="H356" s="28"/>
      <c r="I356" s="36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41"/>
      <c r="B357" s="36"/>
      <c r="C357" s="36"/>
      <c r="D357" s="36"/>
      <c r="E357" s="36"/>
      <c r="F357" s="36"/>
      <c r="G357" s="36"/>
      <c r="H357" s="28"/>
      <c r="I357" s="36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41"/>
      <c r="B358" s="36"/>
      <c r="C358" s="36"/>
      <c r="D358" s="36"/>
      <c r="E358" s="36"/>
      <c r="F358" s="36"/>
      <c r="G358" s="36"/>
      <c r="H358" s="28"/>
      <c r="I358" s="36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41"/>
      <c r="B359" s="36"/>
      <c r="C359" s="36"/>
      <c r="D359" s="36"/>
      <c r="E359" s="36"/>
      <c r="F359" s="36"/>
      <c r="G359" s="36"/>
      <c r="H359" s="28"/>
      <c r="I359" s="36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41"/>
      <c r="B360" s="36"/>
      <c r="C360" s="36"/>
      <c r="D360" s="36"/>
      <c r="E360" s="36"/>
      <c r="F360" s="36"/>
      <c r="G360" s="36"/>
      <c r="H360" s="28"/>
      <c r="I360" s="36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41"/>
      <c r="B361" s="36"/>
      <c r="C361" s="36"/>
      <c r="D361" s="36"/>
      <c r="E361" s="36"/>
      <c r="F361" s="36"/>
      <c r="G361" s="36"/>
      <c r="H361" s="28"/>
      <c r="I361" s="36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41"/>
      <c r="B362" s="36"/>
      <c r="C362" s="36"/>
      <c r="D362" s="36"/>
      <c r="E362" s="36"/>
      <c r="F362" s="36"/>
      <c r="G362" s="36"/>
      <c r="H362" s="28"/>
      <c r="I362" s="36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41"/>
      <c r="B363" s="36"/>
      <c r="C363" s="36"/>
      <c r="D363" s="36"/>
      <c r="E363" s="36"/>
      <c r="F363" s="36"/>
      <c r="G363" s="36"/>
      <c r="H363" s="28"/>
      <c r="I363" s="36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41"/>
      <c r="B364" s="36"/>
      <c r="C364" s="36"/>
      <c r="D364" s="36"/>
      <c r="E364" s="36"/>
      <c r="F364" s="36"/>
      <c r="G364" s="36"/>
      <c r="H364" s="28"/>
      <c r="I364" s="36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41"/>
      <c r="B365" s="36"/>
      <c r="C365" s="36"/>
      <c r="D365" s="36"/>
      <c r="E365" s="36"/>
      <c r="F365" s="36"/>
      <c r="G365" s="36"/>
      <c r="H365" s="28"/>
      <c r="I365" s="36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41"/>
      <c r="B366" s="36"/>
      <c r="C366" s="36"/>
      <c r="D366" s="36"/>
      <c r="E366" s="36"/>
      <c r="F366" s="36"/>
      <c r="G366" s="36"/>
      <c r="H366" s="28"/>
      <c r="I366" s="36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41"/>
      <c r="B367" s="36"/>
      <c r="C367" s="36"/>
      <c r="D367" s="36"/>
      <c r="E367" s="36"/>
      <c r="F367" s="36"/>
      <c r="G367" s="36"/>
      <c r="H367" s="28"/>
      <c r="I367" s="36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41"/>
      <c r="B368" s="36"/>
      <c r="C368" s="36"/>
      <c r="D368" s="36"/>
      <c r="E368" s="36"/>
      <c r="F368" s="36"/>
      <c r="G368" s="36"/>
      <c r="H368" s="28"/>
      <c r="I368" s="36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41"/>
      <c r="B369" s="36"/>
      <c r="C369" s="36"/>
      <c r="D369" s="36"/>
      <c r="E369" s="36"/>
      <c r="F369" s="36"/>
      <c r="G369" s="36"/>
      <c r="H369" s="28"/>
      <c r="I369" s="36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41"/>
      <c r="B370" s="36"/>
      <c r="C370" s="36"/>
      <c r="D370" s="36"/>
      <c r="E370" s="36"/>
      <c r="F370" s="36"/>
      <c r="G370" s="36"/>
      <c r="H370" s="28"/>
      <c r="I370" s="36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41"/>
      <c r="B371" s="36"/>
      <c r="C371" s="36"/>
      <c r="D371" s="36"/>
      <c r="E371" s="36"/>
      <c r="F371" s="36"/>
      <c r="G371" s="36"/>
      <c r="H371" s="28"/>
      <c r="I371" s="36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41"/>
      <c r="B372" s="36"/>
      <c r="C372" s="36"/>
      <c r="D372" s="36"/>
      <c r="E372" s="36"/>
      <c r="F372" s="36"/>
      <c r="G372" s="36"/>
      <c r="H372" s="28"/>
      <c r="I372" s="36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41"/>
      <c r="B373" s="36"/>
      <c r="C373" s="36"/>
      <c r="D373" s="36"/>
      <c r="E373" s="36"/>
      <c r="F373" s="36"/>
      <c r="G373" s="36"/>
      <c r="H373" s="28"/>
      <c r="I373" s="36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41"/>
      <c r="B374" s="36"/>
      <c r="C374" s="36"/>
      <c r="D374" s="36"/>
      <c r="E374" s="36"/>
      <c r="F374" s="36"/>
      <c r="G374" s="36"/>
      <c r="H374" s="28"/>
      <c r="I374" s="36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41"/>
      <c r="B375" s="36"/>
      <c r="C375" s="36"/>
      <c r="D375" s="36"/>
      <c r="E375" s="36"/>
      <c r="F375" s="36"/>
      <c r="G375" s="36"/>
      <c r="H375" s="28"/>
      <c r="I375" s="36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41"/>
      <c r="B376" s="36"/>
      <c r="C376" s="36"/>
      <c r="D376" s="36"/>
      <c r="E376" s="36"/>
      <c r="F376" s="36"/>
      <c r="G376" s="36"/>
      <c r="H376" s="28"/>
      <c r="I376" s="36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41"/>
      <c r="B377" s="36"/>
      <c r="C377" s="36"/>
      <c r="D377" s="36"/>
      <c r="E377" s="36"/>
      <c r="F377" s="36"/>
      <c r="G377" s="36"/>
      <c r="H377" s="28"/>
      <c r="I377" s="36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41"/>
      <c r="B378" s="36"/>
      <c r="C378" s="36"/>
      <c r="D378" s="36"/>
      <c r="E378" s="36"/>
      <c r="F378" s="36"/>
      <c r="G378" s="36"/>
      <c r="H378" s="28"/>
      <c r="I378" s="36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41"/>
      <c r="B379" s="36"/>
      <c r="C379" s="36"/>
      <c r="D379" s="36"/>
      <c r="E379" s="36"/>
      <c r="F379" s="36"/>
      <c r="G379" s="36"/>
      <c r="H379" s="28"/>
      <c r="I379" s="36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41"/>
      <c r="B380" s="36"/>
      <c r="C380" s="36"/>
      <c r="D380" s="36"/>
      <c r="E380" s="36"/>
      <c r="F380" s="36"/>
      <c r="G380" s="36"/>
      <c r="H380" s="28"/>
      <c r="I380" s="36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41"/>
      <c r="B381" s="36"/>
      <c r="C381" s="36"/>
      <c r="D381" s="36"/>
      <c r="E381" s="36"/>
      <c r="F381" s="36"/>
      <c r="G381" s="36"/>
      <c r="H381" s="28"/>
      <c r="I381" s="36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41"/>
      <c r="B382" s="36"/>
      <c r="C382" s="36"/>
      <c r="D382" s="36"/>
      <c r="E382" s="36"/>
      <c r="F382" s="36"/>
      <c r="G382" s="36"/>
      <c r="H382" s="28"/>
      <c r="I382" s="36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41"/>
      <c r="B383" s="36"/>
      <c r="C383" s="36"/>
      <c r="D383" s="36"/>
      <c r="E383" s="36"/>
      <c r="F383" s="36"/>
      <c r="G383" s="36"/>
      <c r="H383" s="28"/>
      <c r="I383" s="36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41"/>
      <c r="B384" s="36"/>
      <c r="C384" s="36"/>
      <c r="D384" s="36"/>
      <c r="E384" s="36"/>
      <c r="F384" s="36"/>
      <c r="G384" s="36"/>
      <c r="H384" s="28"/>
      <c r="I384" s="36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41"/>
      <c r="B385" s="36"/>
      <c r="C385" s="36"/>
      <c r="D385" s="36"/>
      <c r="E385" s="36"/>
      <c r="F385" s="36"/>
      <c r="G385" s="36"/>
      <c r="H385" s="28"/>
      <c r="I385" s="36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41"/>
      <c r="B386" s="36"/>
      <c r="C386" s="36"/>
      <c r="D386" s="36"/>
      <c r="E386" s="36"/>
      <c r="F386" s="36"/>
      <c r="G386" s="36"/>
      <c r="H386" s="28"/>
      <c r="I386" s="36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41"/>
      <c r="B387" s="36"/>
      <c r="C387" s="36"/>
      <c r="D387" s="36"/>
      <c r="E387" s="36"/>
      <c r="F387" s="36"/>
      <c r="G387" s="36"/>
      <c r="H387" s="28"/>
      <c r="I387" s="36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41"/>
      <c r="B388" s="36"/>
      <c r="C388" s="36"/>
      <c r="D388" s="36"/>
      <c r="E388" s="36"/>
      <c r="F388" s="36"/>
      <c r="G388" s="36"/>
      <c r="H388" s="28"/>
      <c r="I388" s="36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41"/>
      <c r="B389" s="36"/>
      <c r="C389" s="36"/>
      <c r="D389" s="36"/>
      <c r="E389" s="36"/>
      <c r="F389" s="36"/>
      <c r="G389" s="36"/>
      <c r="H389" s="28"/>
      <c r="I389" s="36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41"/>
      <c r="B390" s="36"/>
      <c r="C390" s="36"/>
      <c r="D390" s="36"/>
      <c r="E390" s="36"/>
      <c r="F390" s="36"/>
      <c r="G390" s="36"/>
      <c r="H390" s="28"/>
      <c r="I390" s="36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41"/>
      <c r="B391" s="36"/>
      <c r="C391" s="36"/>
      <c r="D391" s="36"/>
      <c r="E391" s="36"/>
      <c r="F391" s="36"/>
      <c r="G391" s="36"/>
      <c r="H391" s="28"/>
      <c r="I391" s="36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41"/>
      <c r="B392" s="36"/>
      <c r="C392" s="36"/>
      <c r="D392" s="36"/>
      <c r="E392" s="36"/>
      <c r="F392" s="36"/>
      <c r="G392" s="36"/>
      <c r="H392" s="28"/>
      <c r="I392" s="36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41"/>
      <c r="B393" s="36"/>
      <c r="C393" s="36"/>
      <c r="D393" s="36"/>
      <c r="E393" s="36"/>
      <c r="F393" s="36"/>
      <c r="G393" s="36"/>
      <c r="H393" s="28"/>
      <c r="I393" s="36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41"/>
      <c r="B394" s="36"/>
      <c r="C394" s="36"/>
      <c r="D394" s="36"/>
      <c r="E394" s="36"/>
      <c r="F394" s="36"/>
      <c r="G394" s="36"/>
      <c r="H394" s="28"/>
      <c r="I394" s="36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41"/>
      <c r="B395" s="36"/>
      <c r="C395" s="36"/>
      <c r="D395" s="36"/>
      <c r="E395" s="36"/>
      <c r="F395" s="36"/>
      <c r="G395" s="36"/>
      <c r="H395" s="28"/>
      <c r="I395" s="36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41"/>
      <c r="B396" s="36"/>
      <c r="C396" s="36"/>
      <c r="D396" s="36"/>
      <c r="E396" s="36"/>
      <c r="F396" s="36"/>
      <c r="G396" s="36"/>
      <c r="H396" s="28"/>
      <c r="I396" s="36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41"/>
      <c r="B397" s="36"/>
      <c r="C397" s="36"/>
      <c r="D397" s="36"/>
      <c r="E397" s="36"/>
      <c r="F397" s="36"/>
      <c r="G397" s="36"/>
      <c r="H397" s="28"/>
      <c r="I397" s="36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41"/>
      <c r="B398" s="36"/>
      <c r="C398" s="36"/>
      <c r="D398" s="36"/>
      <c r="E398" s="36"/>
      <c r="F398" s="36"/>
      <c r="G398" s="36"/>
      <c r="H398" s="28"/>
      <c r="I398" s="36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41"/>
      <c r="B399" s="36"/>
      <c r="C399" s="36"/>
      <c r="D399" s="36"/>
      <c r="E399" s="36"/>
      <c r="F399" s="36"/>
      <c r="G399" s="36"/>
      <c r="H399" s="28"/>
      <c r="I399" s="36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41"/>
      <c r="B400" s="36"/>
      <c r="C400" s="36"/>
      <c r="D400" s="36"/>
      <c r="E400" s="36"/>
      <c r="F400" s="36"/>
      <c r="G400" s="36"/>
      <c r="H400" s="28"/>
      <c r="I400" s="36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41"/>
      <c r="B401" s="36"/>
      <c r="C401" s="36"/>
      <c r="D401" s="36"/>
      <c r="E401" s="36"/>
      <c r="F401" s="36"/>
      <c r="G401" s="36"/>
      <c r="H401" s="28"/>
      <c r="I401" s="36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41"/>
      <c r="B402" s="36"/>
      <c r="C402" s="36"/>
      <c r="D402" s="36"/>
      <c r="E402" s="36"/>
      <c r="F402" s="36"/>
      <c r="G402" s="36"/>
      <c r="H402" s="28"/>
      <c r="I402" s="36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41"/>
      <c r="B403" s="36"/>
      <c r="C403" s="36"/>
      <c r="D403" s="36"/>
      <c r="E403" s="36"/>
      <c r="F403" s="36"/>
      <c r="G403" s="36"/>
      <c r="H403" s="28"/>
      <c r="I403" s="36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41"/>
      <c r="B404" s="36"/>
      <c r="C404" s="36"/>
      <c r="D404" s="36"/>
      <c r="E404" s="36"/>
      <c r="F404" s="36"/>
      <c r="G404" s="36"/>
      <c r="H404" s="28"/>
      <c r="I404" s="36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41"/>
      <c r="B405" s="36"/>
      <c r="C405" s="36"/>
      <c r="D405" s="36"/>
      <c r="E405" s="36"/>
      <c r="F405" s="36"/>
      <c r="G405" s="36"/>
      <c r="H405" s="28"/>
      <c r="I405" s="36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41"/>
      <c r="B406" s="36"/>
      <c r="C406" s="36"/>
      <c r="D406" s="36"/>
      <c r="E406" s="36"/>
      <c r="F406" s="36"/>
      <c r="G406" s="36"/>
      <c r="H406" s="28"/>
      <c r="I406" s="36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41"/>
      <c r="B407" s="36"/>
      <c r="C407" s="36"/>
      <c r="D407" s="36"/>
      <c r="E407" s="36"/>
      <c r="F407" s="36"/>
      <c r="G407" s="36"/>
      <c r="H407" s="28"/>
      <c r="I407" s="36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41"/>
      <c r="B408" s="36"/>
      <c r="C408" s="36"/>
      <c r="D408" s="36"/>
      <c r="E408" s="36"/>
      <c r="F408" s="36"/>
      <c r="G408" s="36"/>
      <c r="H408" s="28"/>
      <c r="I408" s="36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41"/>
      <c r="B409" s="36"/>
      <c r="C409" s="36"/>
      <c r="D409" s="36"/>
      <c r="E409" s="36"/>
      <c r="F409" s="36"/>
      <c r="G409" s="36"/>
      <c r="H409" s="28"/>
      <c r="I409" s="36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41"/>
      <c r="B410" s="36"/>
      <c r="C410" s="36"/>
      <c r="D410" s="36"/>
      <c r="E410" s="36"/>
      <c r="F410" s="36"/>
      <c r="G410" s="36"/>
      <c r="H410" s="28"/>
      <c r="I410" s="36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41"/>
      <c r="B411" s="36"/>
      <c r="C411" s="36"/>
      <c r="D411" s="36"/>
      <c r="E411" s="36"/>
      <c r="F411" s="36"/>
      <c r="G411" s="36"/>
      <c r="H411" s="28"/>
      <c r="I411" s="36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41"/>
      <c r="B412" s="36"/>
      <c r="C412" s="36"/>
      <c r="D412" s="36"/>
      <c r="E412" s="36"/>
      <c r="F412" s="36"/>
      <c r="G412" s="36"/>
      <c r="H412" s="28"/>
      <c r="I412" s="36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41"/>
      <c r="B413" s="36"/>
      <c r="C413" s="36"/>
      <c r="D413" s="36"/>
      <c r="E413" s="36"/>
      <c r="F413" s="36"/>
      <c r="G413" s="36"/>
      <c r="H413" s="28"/>
      <c r="I413" s="36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41"/>
      <c r="B414" s="36"/>
      <c r="C414" s="36"/>
      <c r="D414" s="36"/>
      <c r="E414" s="36"/>
      <c r="F414" s="36"/>
      <c r="G414" s="36"/>
      <c r="H414" s="28"/>
      <c r="I414" s="36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41"/>
      <c r="B415" s="36"/>
      <c r="C415" s="36"/>
      <c r="D415" s="36"/>
      <c r="E415" s="36"/>
      <c r="F415" s="36"/>
      <c r="G415" s="36"/>
      <c r="H415" s="28"/>
      <c r="I415" s="36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41"/>
      <c r="B416" s="36"/>
      <c r="C416" s="36"/>
      <c r="D416" s="36"/>
      <c r="E416" s="36"/>
      <c r="F416" s="36"/>
      <c r="G416" s="36"/>
      <c r="H416" s="28"/>
      <c r="I416" s="36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41"/>
      <c r="B417" s="36"/>
      <c r="C417" s="36"/>
      <c r="D417" s="36"/>
      <c r="E417" s="36"/>
      <c r="F417" s="36"/>
      <c r="G417" s="36"/>
      <c r="H417" s="28"/>
      <c r="I417" s="36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41"/>
      <c r="B418" s="36"/>
      <c r="C418" s="36"/>
      <c r="D418" s="36"/>
      <c r="E418" s="36"/>
      <c r="F418" s="36"/>
      <c r="G418" s="36"/>
      <c r="H418" s="28"/>
      <c r="I418" s="36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41"/>
      <c r="B419" s="36"/>
      <c r="C419" s="36"/>
      <c r="D419" s="36"/>
      <c r="E419" s="36"/>
      <c r="F419" s="36"/>
      <c r="G419" s="36"/>
      <c r="H419" s="28"/>
      <c r="I419" s="36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41"/>
      <c r="B420" s="36"/>
      <c r="C420" s="36"/>
      <c r="D420" s="36"/>
      <c r="E420" s="36"/>
      <c r="F420" s="36"/>
      <c r="G420" s="36"/>
      <c r="H420" s="28"/>
      <c r="I420" s="36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41"/>
      <c r="B421" s="36"/>
      <c r="C421" s="36"/>
      <c r="D421" s="36"/>
      <c r="E421" s="36"/>
      <c r="F421" s="36"/>
      <c r="G421" s="36"/>
      <c r="H421" s="28"/>
      <c r="I421" s="36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41"/>
      <c r="B422" s="36"/>
      <c r="C422" s="36"/>
      <c r="D422" s="36"/>
      <c r="E422" s="36"/>
      <c r="F422" s="36"/>
      <c r="G422" s="36"/>
      <c r="H422" s="28"/>
      <c r="I422" s="36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41"/>
      <c r="B423" s="36"/>
      <c r="C423" s="36"/>
      <c r="D423" s="36"/>
      <c r="E423" s="36"/>
      <c r="F423" s="36"/>
      <c r="G423" s="36"/>
      <c r="H423" s="28"/>
      <c r="I423" s="36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41"/>
      <c r="B424" s="36"/>
      <c r="C424" s="36"/>
      <c r="D424" s="36"/>
      <c r="E424" s="36"/>
      <c r="F424" s="36"/>
      <c r="G424" s="36"/>
      <c r="H424" s="28"/>
      <c r="I424" s="36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41"/>
      <c r="B425" s="36"/>
      <c r="C425" s="36"/>
      <c r="D425" s="36"/>
      <c r="E425" s="36"/>
      <c r="F425" s="36"/>
      <c r="G425" s="36"/>
      <c r="H425" s="28"/>
      <c r="I425" s="36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41"/>
      <c r="B426" s="36"/>
      <c r="C426" s="36"/>
      <c r="D426" s="36"/>
      <c r="E426" s="36"/>
      <c r="F426" s="36"/>
      <c r="G426" s="36"/>
      <c r="H426" s="28"/>
      <c r="I426" s="36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41"/>
      <c r="B427" s="36"/>
      <c r="C427" s="36"/>
      <c r="D427" s="36"/>
      <c r="E427" s="36"/>
      <c r="F427" s="36"/>
      <c r="G427" s="36"/>
      <c r="H427" s="28"/>
      <c r="I427" s="36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41"/>
      <c r="B428" s="36"/>
      <c r="C428" s="36"/>
      <c r="D428" s="36"/>
      <c r="E428" s="36"/>
      <c r="F428" s="36"/>
      <c r="G428" s="36"/>
      <c r="H428" s="28"/>
      <c r="I428" s="36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41"/>
      <c r="B429" s="36"/>
      <c r="C429" s="36"/>
      <c r="D429" s="36"/>
      <c r="E429" s="36"/>
      <c r="F429" s="36"/>
      <c r="G429" s="36"/>
      <c r="H429" s="28"/>
      <c r="I429" s="36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41"/>
      <c r="B430" s="36"/>
      <c r="C430" s="36"/>
      <c r="D430" s="36"/>
      <c r="E430" s="36"/>
      <c r="F430" s="36"/>
      <c r="G430" s="36"/>
      <c r="H430" s="28"/>
      <c r="I430" s="36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41"/>
      <c r="B431" s="36"/>
      <c r="C431" s="36"/>
      <c r="D431" s="36"/>
      <c r="E431" s="36"/>
      <c r="F431" s="36"/>
      <c r="G431" s="36"/>
      <c r="H431" s="28"/>
      <c r="I431" s="36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41"/>
      <c r="B432" s="36"/>
      <c r="C432" s="36"/>
      <c r="D432" s="36"/>
      <c r="E432" s="36"/>
      <c r="F432" s="36"/>
      <c r="G432" s="36"/>
      <c r="H432" s="28"/>
      <c r="I432" s="36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41"/>
      <c r="B433" s="36"/>
      <c r="C433" s="36"/>
      <c r="D433" s="36"/>
      <c r="E433" s="36"/>
      <c r="F433" s="36"/>
      <c r="G433" s="36"/>
      <c r="H433" s="28"/>
      <c r="I433" s="36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41"/>
      <c r="B434" s="36"/>
      <c r="C434" s="36"/>
      <c r="D434" s="36"/>
      <c r="E434" s="36"/>
      <c r="F434" s="36"/>
      <c r="G434" s="36"/>
      <c r="H434" s="28"/>
      <c r="I434" s="36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41"/>
      <c r="B435" s="36"/>
      <c r="C435" s="36"/>
      <c r="D435" s="36"/>
      <c r="E435" s="36"/>
      <c r="F435" s="36"/>
      <c r="G435" s="36"/>
      <c r="H435" s="28"/>
      <c r="I435" s="36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41"/>
      <c r="B436" s="36"/>
      <c r="C436" s="36"/>
      <c r="D436" s="36"/>
      <c r="E436" s="36"/>
      <c r="F436" s="36"/>
      <c r="G436" s="36"/>
      <c r="H436" s="28"/>
      <c r="I436" s="36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41"/>
      <c r="B437" s="36"/>
      <c r="C437" s="36"/>
      <c r="D437" s="36"/>
      <c r="E437" s="36"/>
      <c r="F437" s="36"/>
      <c r="G437" s="36"/>
      <c r="H437" s="28"/>
      <c r="I437" s="36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41"/>
      <c r="B438" s="36"/>
      <c r="C438" s="36"/>
      <c r="D438" s="36"/>
      <c r="E438" s="36"/>
      <c r="F438" s="36"/>
      <c r="G438" s="36"/>
      <c r="H438" s="28"/>
      <c r="I438" s="36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41"/>
      <c r="B439" s="36"/>
      <c r="C439" s="36"/>
      <c r="D439" s="36"/>
      <c r="E439" s="36"/>
      <c r="F439" s="36"/>
      <c r="G439" s="36"/>
      <c r="H439" s="28"/>
      <c r="I439" s="36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41"/>
      <c r="B440" s="36"/>
      <c r="C440" s="36"/>
      <c r="D440" s="36"/>
      <c r="E440" s="36"/>
      <c r="F440" s="36"/>
      <c r="G440" s="36"/>
      <c r="H440" s="28"/>
      <c r="I440" s="36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41"/>
      <c r="B441" s="36"/>
      <c r="C441" s="36"/>
      <c r="D441" s="36"/>
      <c r="E441" s="36"/>
      <c r="F441" s="36"/>
      <c r="G441" s="36"/>
      <c r="H441" s="28"/>
      <c r="I441" s="36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41"/>
      <c r="B442" s="36"/>
      <c r="C442" s="36"/>
      <c r="D442" s="36"/>
      <c r="E442" s="36"/>
      <c r="F442" s="36"/>
      <c r="G442" s="36"/>
      <c r="H442" s="28"/>
      <c r="I442" s="36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41"/>
      <c r="B443" s="36"/>
      <c r="C443" s="36"/>
      <c r="D443" s="36"/>
      <c r="E443" s="36"/>
      <c r="F443" s="36"/>
      <c r="G443" s="36"/>
      <c r="H443" s="28"/>
      <c r="I443" s="36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41"/>
      <c r="B444" s="36"/>
      <c r="C444" s="36"/>
      <c r="D444" s="36"/>
      <c r="E444" s="36"/>
      <c r="F444" s="36"/>
      <c r="G444" s="36"/>
      <c r="H444" s="28"/>
      <c r="I444" s="36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41"/>
      <c r="B445" s="36"/>
      <c r="C445" s="36"/>
      <c r="D445" s="36"/>
      <c r="E445" s="36"/>
      <c r="F445" s="36"/>
      <c r="G445" s="36"/>
      <c r="H445" s="28"/>
      <c r="I445" s="36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41"/>
      <c r="B446" s="36"/>
      <c r="C446" s="36"/>
      <c r="D446" s="36"/>
      <c r="E446" s="36"/>
      <c r="F446" s="36"/>
      <c r="G446" s="36"/>
      <c r="H446" s="28"/>
      <c r="I446" s="36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41"/>
      <c r="B447" s="36"/>
      <c r="C447" s="36"/>
      <c r="D447" s="36"/>
      <c r="E447" s="36"/>
      <c r="F447" s="36"/>
      <c r="G447" s="36"/>
      <c r="H447" s="28"/>
      <c r="I447" s="36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41"/>
      <c r="B448" s="36"/>
      <c r="C448" s="36"/>
      <c r="D448" s="36"/>
      <c r="E448" s="36"/>
      <c r="F448" s="36"/>
      <c r="G448" s="36"/>
      <c r="H448" s="28"/>
      <c r="I448" s="36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41"/>
      <c r="B449" s="36"/>
      <c r="C449" s="36"/>
      <c r="D449" s="36"/>
      <c r="E449" s="36"/>
      <c r="F449" s="36"/>
      <c r="G449" s="36"/>
      <c r="H449" s="28"/>
      <c r="I449" s="36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41"/>
      <c r="B450" s="36"/>
      <c r="C450" s="36"/>
      <c r="D450" s="36"/>
      <c r="E450" s="36"/>
      <c r="F450" s="36"/>
      <c r="G450" s="36"/>
      <c r="H450" s="28"/>
      <c r="I450" s="36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41"/>
      <c r="B451" s="36"/>
      <c r="C451" s="36"/>
      <c r="D451" s="36"/>
      <c r="E451" s="36"/>
      <c r="F451" s="36"/>
      <c r="G451" s="36"/>
      <c r="H451" s="28"/>
      <c r="I451" s="36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41"/>
      <c r="B452" s="36"/>
      <c r="C452" s="36"/>
      <c r="D452" s="36"/>
      <c r="E452" s="36"/>
      <c r="F452" s="36"/>
      <c r="G452" s="36"/>
      <c r="H452" s="28"/>
      <c r="I452" s="36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41"/>
      <c r="B453" s="36"/>
      <c r="C453" s="36"/>
      <c r="D453" s="36"/>
      <c r="E453" s="36"/>
      <c r="F453" s="36"/>
      <c r="G453" s="36"/>
      <c r="H453" s="28"/>
      <c r="I453" s="36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41"/>
      <c r="B454" s="36"/>
      <c r="C454" s="36"/>
      <c r="D454" s="36"/>
      <c r="E454" s="36"/>
      <c r="F454" s="36"/>
      <c r="G454" s="36"/>
      <c r="H454" s="28"/>
      <c r="I454" s="36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41"/>
      <c r="B455" s="36"/>
      <c r="C455" s="36"/>
      <c r="D455" s="36"/>
      <c r="E455" s="36"/>
      <c r="F455" s="36"/>
      <c r="G455" s="36"/>
      <c r="H455" s="28"/>
      <c r="I455" s="36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41"/>
      <c r="B456" s="36"/>
      <c r="C456" s="36"/>
      <c r="D456" s="36"/>
      <c r="E456" s="36"/>
      <c r="F456" s="36"/>
      <c r="G456" s="36"/>
      <c r="H456" s="28"/>
      <c r="I456" s="36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41"/>
      <c r="B457" s="36"/>
      <c r="C457" s="36"/>
      <c r="D457" s="36"/>
      <c r="E457" s="36"/>
      <c r="F457" s="36"/>
      <c r="G457" s="36"/>
      <c r="H457" s="28"/>
      <c r="I457" s="36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41"/>
      <c r="B458" s="36"/>
      <c r="C458" s="36"/>
      <c r="D458" s="36"/>
      <c r="E458" s="36"/>
      <c r="F458" s="36"/>
      <c r="G458" s="36"/>
      <c r="H458" s="28"/>
      <c r="I458" s="36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41"/>
      <c r="B459" s="36"/>
      <c r="C459" s="36"/>
      <c r="D459" s="36"/>
      <c r="E459" s="36"/>
      <c r="F459" s="36"/>
      <c r="G459" s="36"/>
      <c r="H459" s="28"/>
      <c r="I459" s="36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41"/>
      <c r="B460" s="36"/>
      <c r="C460" s="36"/>
      <c r="D460" s="36"/>
      <c r="E460" s="36"/>
      <c r="F460" s="36"/>
      <c r="G460" s="36"/>
      <c r="H460" s="28"/>
      <c r="I460" s="36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41"/>
      <c r="B461" s="36"/>
      <c r="C461" s="36"/>
      <c r="D461" s="36"/>
      <c r="E461" s="36"/>
      <c r="F461" s="36"/>
      <c r="G461" s="36"/>
      <c r="H461" s="28"/>
      <c r="I461" s="36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41"/>
      <c r="B462" s="36"/>
      <c r="C462" s="36"/>
      <c r="D462" s="36"/>
      <c r="E462" s="36"/>
      <c r="F462" s="36"/>
      <c r="G462" s="36"/>
      <c r="H462" s="28"/>
      <c r="I462" s="36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41"/>
      <c r="B463" s="36"/>
      <c r="C463" s="36"/>
      <c r="D463" s="36"/>
      <c r="E463" s="36"/>
      <c r="F463" s="36"/>
      <c r="G463" s="36"/>
      <c r="H463" s="28"/>
      <c r="I463" s="36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41"/>
      <c r="B464" s="36"/>
      <c r="C464" s="36"/>
      <c r="D464" s="36"/>
      <c r="E464" s="36"/>
      <c r="F464" s="36"/>
      <c r="G464" s="36"/>
      <c r="H464" s="28"/>
      <c r="I464" s="36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41"/>
      <c r="B465" s="36"/>
      <c r="C465" s="36"/>
      <c r="D465" s="36"/>
      <c r="E465" s="36"/>
      <c r="F465" s="36"/>
      <c r="G465" s="36"/>
      <c r="H465" s="28"/>
      <c r="I465" s="36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41"/>
      <c r="B466" s="36"/>
      <c r="C466" s="36"/>
      <c r="D466" s="36"/>
      <c r="E466" s="36"/>
      <c r="F466" s="36"/>
      <c r="G466" s="36"/>
      <c r="H466" s="28"/>
      <c r="I466" s="36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41"/>
      <c r="B467" s="36"/>
      <c r="C467" s="36"/>
      <c r="D467" s="36"/>
      <c r="E467" s="36"/>
      <c r="F467" s="36"/>
      <c r="G467" s="36"/>
      <c r="H467" s="28"/>
      <c r="I467" s="36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41"/>
      <c r="B468" s="36"/>
      <c r="C468" s="36"/>
      <c r="D468" s="36"/>
      <c r="E468" s="36"/>
      <c r="F468" s="36"/>
      <c r="G468" s="36"/>
      <c r="H468" s="28"/>
      <c r="I468" s="36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41"/>
      <c r="B469" s="36"/>
      <c r="C469" s="36"/>
      <c r="D469" s="36"/>
      <c r="E469" s="36"/>
      <c r="F469" s="36"/>
      <c r="G469" s="36"/>
      <c r="H469" s="28"/>
      <c r="I469" s="36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41"/>
      <c r="B470" s="36"/>
      <c r="C470" s="36"/>
      <c r="D470" s="36"/>
      <c r="E470" s="36"/>
      <c r="F470" s="36"/>
      <c r="G470" s="36"/>
      <c r="H470" s="28"/>
      <c r="I470" s="36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41"/>
      <c r="B471" s="36"/>
      <c r="C471" s="36"/>
      <c r="D471" s="36"/>
      <c r="E471" s="36"/>
      <c r="F471" s="36"/>
      <c r="G471" s="36"/>
      <c r="H471" s="28"/>
      <c r="I471" s="36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41"/>
      <c r="B472" s="36"/>
      <c r="C472" s="36"/>
      <c r="D472" s="36"/>
      <c r="E472" s="36"/>
      <c r="F472" s="36"/>
      <c r="G472" s="36"/>
      <c r="H472" s="28"/>
      <c r="I472" s="36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41"/>
      <c r="B473" s="36"/>
      <c r="C473" s="36"/>
      <c r="D473" s="36"/>
      <c r="E473" s="36"/>
      <c r="F473" s="36"/>
      <c r="G473" s="36"/>
      <c r="H473" s="28"/>
      <c r="I473" s="36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41"/>
      <c r="B474" s="36"/>
      <c r="C474" s="36"/>
      <c r="D474" s="36"/>
      <c r="E474" s="36"/>
      <c r="F474" s="36"/>
      <c r="G474" s="36"/>
      <c r="H474" s="28"/>
      <c r="I474" s="36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41"/>
      <c r="B475" s="36"/>
      <c r="C475" s="36"/>
      <c r="D475" s="36"/>
      <c r="E475" s="36"/>
      <c r="F475" s="36"/>
      <c r="G475" s="36"/>
      <c r="H475" s="28"/>
      <c r="I475" s="36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41"/>
      <c r="B476" s="36"/>
      <c r="C476" s="36"/>
      <c r="D476" s="36"/>
      <c r="E476" s="36"/>
      <c r="F476" s="36"/>
      <c r="G476" s="36"/>
      <c r="H476" s="28"/>
      <c r="I476" s="36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41"/>
      <c r="B477" s="36"/>
      <c r="C477" s="36"/>
      <c r="D477" s="36"/>
      <c r="E477" s="36"/>
      <c r="F477" s="36"/>
      <c r="G477" s="36"/>
      <c r="H477" s="28"/>
      <c r="I477" s="36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41"/>
      <c r="B478" s="36"/>
      <c r="C478" s="36"/>
      <c r="D478" s="36"/>
      <c r="E478" s="36"/>
      <c r="F478" s="36"/>
      <c r="G478" s="36"/>
      <c r="H478" s="28"/>
      <c r="I478" s="36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41"/>
      <c r="B479" s="36"/>
      <c r="C479" s="36"/>
      <c r="D479" s="36"/>
      <c r="E479" s="36"/>
      <c r="F479" s="36"/>
      <c r="G479" s="36"/>
      <c r="H479" s="28"/>
      <c r="I479" s="36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41"/>
      <c r="B480" s="36"/>
      <c r="C480" s="36"/>
      <c r="D480" s="36"/>
      <c r="E480" s="36"/>
      <c r="F480" s="36"/>
      <c r="G480" s="36"/>
      <c r="H480" s="28"/>
      <c r="I480" s="36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41"/>
      <c r="B481" s="36"/>
      <c r="C481" s="36"/>
      <c r="D481" s="36"/>
      <c r="E481" s="36"/>
      <c r="F481" s="36"/>
      <c r="G481" s="36"/>
      <c r="H481" s="28"/>
      <c r="I481" s="36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41"/>
      <c r="B482" s="36"/>
      <c r="C482" s="36"/>
      <c r="D482" s="36"/>
      <c r="E482" s="36"/>
      <c r="F482" s="36"/>
      <c r="G482" s="36"/>
      <c r="H482" s="28"/>
      <c r="I482" s="36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41"/>
      <c r="B483" s="36"/>
      <c r="C483" s="36"/>
      <c r="D483" s="36"/>
      <c r="E483" s="36"/>
      <c r="F483" s="36"/>
      <c r="G483" s="36"/>
      <c r="H483" s="28"/>
      <c r="I483" s="36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41"/>
      <c r="B484" s="36"/>
      <c r="C484" s="36"/>
      <c r="D484" s="36"/>
      <c r="E484" s="36"/>
      <c r="F484" s="36"/>
      <c r="G484" s="36"/>
      <c r="H484" s="28"/>
      <c r="I484" s="36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41"/>
      <c r="B485" s="36"/>
      <c r="C485" s="36"/>
      <c r="D485" s="36"/>
      <c r="E485" s="36"/>
      <c r="F485" s="36"/>
      <c r="G485" s="36"/>
      <c r="H485" s="28"/>
      <c r="I485" s="36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41"/>
      <c r="B486" s="36"/>
      <c r="C486" s="36"/>
      <c r="D486" s="36"/>
      <c r="E486" s="36"/>
      <c r="F486" s="36"/>
      <c r="G486" s="36"/>
      <c r="H486" s="28"/>
      <c r="I486" s="36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41"/>
      <c r="B487" s="36"/>
      <c r="C487" s="36"/>
      <c r="D487" s="36"/>
      <c r="E487" s="36"/>
      <c r="F487" s="36"/>
      <c r="G487" s="36"/>
      <c r="H487" s="28"/>
      <c r="I487" s="36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41"/>
      <c r="B488" s="36"/>
      <c r="C488" s="36"/>
      <c r="D488" s="36"/>
      <c r="E488" s="36"/>
      <c r="F488" s="36"/>
      <c r="G488" s="36"/>
      <c r="H488" s="28"/>
      <c r="I488" s="36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41"/>
      <c r="B489" s="36"/>
      <c r="C489" s="36"/>
      <c r="D489" s="36"/>
      <c r="E489" s="36"/>
      <c r="F489" s="36"/>
      <c r="G489" s="36"/>
      <c r="H489" s="28"/>
      <c r="I489" s="36"/>
      <c r="J489" s="28"/>
      <c r="K489" s="36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41"/>
      <c r="B490" s="36"/>
      <c r="C490" s="36"/>
      <c r="D490" s="36"/>
      <c r="E490" s="36"/>
      <c r="F490" s="36"/>
      <c r="G490" s="36"/>
      <c r="H490" s="28"/>
      <c r="I490" s="36"/>
      <c r="J490" s="28"/>
      <c r="K490" s="36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41"/>
      <c r="B491" s="36"/>
      <c r="C491" s="36"/>
      <c r="D491" s="36"/>
      <c r="E491" s="36"/>
      <c r="F491" s="36"/>
      <c r="G491" s="36"/>
      <c r="H491" s="28"/>
      <c r="I491" s="36"/>
      <c r="J491" s="28"/>
      <c r="K491" s="36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41"/>
      <c r="B492" s="36"/>
      <c r="C492" s="36"/>
      <c r="D492" s="36"/>
      <c r="E492" s="36"/>
      <c r="F492" s="36"/>
      <c r="G492" s="36"/>
      <c r="H492" s="28"/>
      <c r="I492" s="36"/>
      <c r="J492" s="28"/>
      <c r="K492" s="36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41"/>
      <c r="B493" s="36"/>
      <c r="C493" s="36"/>
      <c r="D493" s="36"/>
      <c r="E493" s="36"/>
      <c r="F493" s="36"/>
      <c r="G493" s="36"/>
      <c r="H493" s="28"/>
      <c r="I493" s="36"/>
      <c r="J493" s="28"/>
      <c r="K493" s="36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41"/>
      <c r="B494" s="36"/>
      <c r="C494" s="36"/>
      <c r="D494" s="36"/>
      <c r="E494" s="36"/>
      <c r="F494" s="36"/>
      <c r="G494" s="36"/>
      <c r="H494" s="28"/>
      <c r="I494" s="36"/>
      <c r="J494" s="28"/>
      <c r="K494" s="36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41"/>
      <c r="B495" s="36"/>
      <c r="C495" s="36"/>
      <c r="D495" s="36"/>
      <c r="E495" s="36"/>
      <c r="F495" s="36"/>
      <c r="G495" s="36"/>
      <c r="H495" s="28"/>
      <c r="I495" s="36"/>
      <c r="J495" s="28"/>
      <c r="K495" s="36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41"/>
      <c r="B496" s="36"/>
      <c r="C496" s="36"/>
      <c r="D496" s="36"/>
      <c r="E496" s="36"/>
      <c r="F496" s="36"/>
      <c r="G496" s="36"/>
      <c r="H496" s="28"/>
      <c r="I496" s="36"/>
      <c r="J496" s="28"/>
      <c r="K496" s="36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41"/>
      <c r="B497" s="36"/>
      <c r="C497" s="36"/>
      <c r="D497" s="36"/>
      <c r="E497" s="36"/>
      <c r="F497" s="36"/>
      <c r="G497" s="36"/>
      <c r="H497" s="28"/>
      <c r="I497" s="36"/>
      <c r="J497" s="28"/>
      <c r="K497" s="36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41"/>
      <c r="B498" s="36"/>
      <c r="C498" s="36"/>
      <c r="D498" s="36"/>
      <c r="E498" s="36"/>
      <c r="F498" s="36"/>
      <c r="G498" s="36"/>
      <c r="H498" s="28"/>
      <c r="I498" s="36"/>
      <c r="J498" s="28"/>
      <c r="K498" s="36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41"/>
      <c r="B499" s="36"/>
      <c r="C499" s="36"/>
      <c r="D499" s="36"/>
      <c r="E499" s="36"/>
      <c r="F499" s="36"/>
      <c r="G499" s="36"/>
      <c r="H499" s="28"/>
      <c r="I499" s="36"/>
      <c r="J499" s="28"/>
      <c r="K499" s="36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41"/>
      <c r="B500" s="36"/>
      <c r="C500" s="36"/>
      <c r="D500" s="36"/>
      <c r="E500" s="36"/>
      <c r="F500" s="36"/>
      <c r="G500" s="36"/>
      <c r="H500" s="28"/>
      <c r="I500" s="36"/>
      <c r="J500" s="28"/>
      <c r="K500" s="36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41"/>
      <c r="B501" s="36"/>
      <c r="C501" s="36"/>
      <c r="D501" s="36"/>
      <c r="E501" s="36"/>
      <c r="F501" s="36"/>
      <c r="G501" s="36"/>
      <c r="H501" s="28"/>
      <c r="I501" s="36"/>
      <c r="J501" s="28"/>
      <c r="K501" s="36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41"/>
      <c r="B502" s="36"/>
      <c r="C502" s="36"/>
      <c r="D502" s="36"/>
      <c r="E502" s="36"/>
      <c r="F502" s="36"/>
      <c r="G502" s="36"/>
      <c r="H502" s="28"/>
      <c r="I502" s="36"/>
      <c r="J502" s="28"/>
      <c r="K502" s="36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41"/>
      <c r="B503" s="36"/>
      <c r="C503" s="36"/>
      <c r="D503" s="36"/>
      <c r="E503" s="36"/>
      <c r="F503" s="36"/>
      <c r="G503" s="36"/>
      <c r="H503" s="28"/>
      <c r="I503" s="36"/>
      <c r="J503" s="28"/>
      <c r="K503" s="36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41"/>
      <c r="B504" s="36"/>
      <c r="C504" s="36"/>
      <c r="D504" s="36"/>
      <c r="E504" s="36"/>
      <c r="F504" s="36"/>
      <c r="G504" s="36"/>
      <c r="H504" s="28"/>
      <c r="I504" s="36"/>
      <c r="J504" s="28"/>
      <c r="K504" s="36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41"/>
      <c r="B505" s="36"/>
      <c r="C505" s="36"/>
      <c r="D505" s="36"/>
      <c r="E505" s="36"/>
      <c r="F505" s="36"/>
      <c r="G505" s="36"/>
      <c r="H505" s="28"/>
      <c r="I505" s="36"/>
      <c r="J505" s="28"/>
      <c r="K505" s="36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41"/>
      <c r="B506" s="36"/>
      <c r="C506" s="36"/>
      <c r="D506" s="36"/>
      <c r="E506" s="36"/>
      <c r="F506" s="36"/>
      <c r="G506" s="36"/>
      <c r="H506" s="28"/>
      <c r="I506" s="36"/>
      <c r="J506" s="28"/>
      <c r="K506" s="36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41"/>
      <c r="B507" s="36"/>
      <c r="C507" s="36"/>
      <c r="D507" s="36"/>
      <c r="E507" s="36"/>
      <c r="F507" s="36"/>
      <c r="G507" s="36"/>
      <c r="H507" s="28"/>
      <c r="I507" s="36"/>
      <c r="J507" s="28"/>
      <c r="K507" s="36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41"/>
      <c r="B508" s="36"/>
      <c r="C508" s="36"/>
      <c r="D508" s="36"/>
      <c r="E508" s="36"/>
      <c r="F508" s="36"/>
      <c r="G508" s="36"/>
      <c r="H508" s="28"/>
      <c r="I508" s="36"/>
      <c r="J508" s="28"/>
      <c r="K508" s="36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41"/>
      <c r="B509" s="36"/>
      <c r="C509" s="36"/>
      <c r="D509" s="36"/>
      <c r="E509" s="36"/>
      <c r="F509" s="36"/>
      <c r="G509" s="36"/>
      <c r="H509" s="28"/>
      <c r="I509" s="36"/>
      <c r="J509" s="28"/>
      <c r="K509" s="36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41"/>
      <c r="B510" s="36"/>
      <c r="C510" s="36"/>
      <c r="D510" s="36"/>
      <c r="E510" s="36"/>
      <c r="F510" s="36"/>
      <c r="G510" s="36"/>
      <c r="H510" s="28"/>
      <c r="I510" s="36"/>
      <c r="J510" s="28"/>
      <c r="K510" s="36"/>
      <c r="L510" s="36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41"/>
      <c r="B511" s="36"/>
      <c r="C511" s="36"/>
      <c r="D511" s="36"/>
      <c r="E511" s="36"/>
      <c r="F511" s="36"/>
      <c r="G511" s="36"/>
      <c r="H511" s="28"/>
      <c r="I511" s="36"/>
      <c r="J511" s="28"/>
      <c r="K511" s="36"/>
      <c r="L511" s="36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41"/>
      <c r="B512" s="36"/>
      <c r="C512" s="36"/>
      <c r="D512" s="36"/>
      <c r="E512" s="36"/>
      <c r="F512" s="36"/>
      <c r="G512" s="36"/>
      <c r="H512" s="28"/>
      <c r="I512" s="36"/>
      <c r="J512" s="28"/>
      <c r="K512" s="36"/>
      <c r="L512" s="36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41"/>
      <c r="B513" s="36"/>
      <c r="C513" s="36"/>
      <c r="D513" s="36"/>
      <c r="E513" s="36"/>
      <c r="F513" s="36"/>
      <c r="G513" s="36"/>
      <c r="H513" s="28"/>
      <c r="I513" s="36"/>
      <c r="J513" s="28"/>
      <c r="K513" s="36"/>
      <c r="L513" s="36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41"/>
      <c r="B514" s="36"/>
      <c r="C514" s="36"/>
      <c r="D514" s="36"/>
      <c r="E514" s="36"/>
      <c r="F514" s="36"/>
      <c r="G514" s="36"/>
      <c r="H514" s="28"/>
      <c r="I514" s="36"/>
      <c r="J514" s="28"/>
      <c r="K514" s="36"/>
      <c r="L514" s="36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41"/>
      <c r="B515" s="36"/>
      <c r="C515" s="36"/>
      <c r="D515" s="36"/>
      <c r="E515" s="36"/>
      <c r="F515" s="36"/>
      <c r="G515" s="36"/>
      <c r="H515" s="28"/>
      <c r="I515" s="36"/>
      <c r="J515" s="28"/>
      <c r="K515" s="36"/>
      <c r="L515" s="36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41"/>
      <c r="B516" s="36"/>
      <c r="C516" s="36"/>
      <c r="D516" s="36"/>
      <c r="E516" s="36"/>
      <c r="F516" s="36"/>
      <c r="G516" s="36"/>
      <c r="H516" s="28"/>
      <c r="I516" s="36"/>
      <c r="J516" s="28"/>
      <c r="K516" s="36"/>
      <c r="L516" s="36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41"/>
      <c r="B517" s="36"/>
      <c r="C517" s="36"/>
      <c r="D517" s="36"/>
      <c r="E517" s="36"/>
      <c r="F517" s="36"/>
      <c r="G517" s="36"/>
      <c r="H517" s="28"/>
      <c r="I517" s="36"/>
      <c r="J517" s="28"/>
      <c r="K517" s="36"/>
      <c r="L517" s="36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41"/>
      <c r="B518" s="36"/>
      <c r="C518" s="36"/>
      <c r="D518" s="36"/>
      <c r="E518" s="36"/>
      <c r="F518" s="36"/>
      <c r="G518" s="36"/>
      <c r="H518" s="28"/>
      <c r="I518" s="36"/>
      <c r="J518" s="28"/>
      <c r="K518" s="36"/>
      <c r="L518" s="36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41"/>
      <c r="B519" s="36"/>
      <c r="C519" s="36"/>
      <c r="D519" s="36"/>
      <c r="E519" s="36"/>
      <c r="F519" s="36"/>
      <c r="G519" s="36"/>
      <c r="H519" s="28"/>
      <c r="I519" s="36"/>
      <c r="J519" s="28"/>
      <c r="K519" s="36"/>
      <c r="L519" s="36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41"/>
      <c r="B520" s="36"/>
      <c r="C520" s="36"/>
      <c r="D520" s="36"/>
      <c r="E520" s="36"/>
      <c r="F520" s="36"/>
      <c r="G520" s="36"/>
      <c r="H520" s="28"/>
      <c r="I520" s="36"/>
      <c r="J520" s="28"/>
      <c r="K520" s="36"/>
      <c r="L520" s="36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41"/>
      <c r="B521" s="36"/>
      <c r="C521" s="36"/>
      <c r="D521" s="36"/>
      <c r="E521" s="36"/>
      <c r="F521" s="36"/>
      <c r="G521" s="36"/>
      <c r="H521" s="28"/>
      <c r="I521" s="36"/>
      <c r="J521" s="28"/>
      <c r="K521" s="36"/>
      <c r="L521" s="36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41"/>
      <c r="B522" s="36"/>
      <c r="C522" s="36"/>
      <c r="D522" s="36"/>
      <c r="E522" s="36"/>
      <c r="F522" s="36"/>
      <c r="G522" s="36"/>
      <c r="H522" s="28"/>
      <c r="I522" s="36"/>
      <c r="J522" s="28"/>
      <c r="K522" s="36"/>
      <c r="L522" s="36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41"/>
      <c r="B523" s="36"/>
      <c r="C523" s="36"/>
      <c r="D523" s="36"/>
      <c r="E523" s="36"/>
      <c r="F523" s="36"/>
      <c r="G523" s="36"/>
      <c r="H523" s="28"/>
      <c r="I523" s="36"/>
      <c r="J523" s="28"/>
      <c r="K523" s="36"/>
      <c r="L523" s="36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41"/>
      <c r="B524" s="36"/>
      <c r="C524" s="36"/>
      <c r="D524" s="36"/>
      <c r="E524" s="36"/>
      <c r="F524" s="36"/>
      <c r="G524" s="36"/>
      <c r="H524" s="28"/>
      <c r="I524" s="36"/>
      <c r="J524" s="28"/>
      <c r="K524" s="36"/>
      <c r="L524" s="36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41"/>
      <c r="B525" s="36"/>
      <c r="C525" s="36"/>
      <c r="D525" s="36"/>
      <c r="E525" s="36"/>
      <c r="F525" s="36"/>
      <c r="G525" s="36"/>
      <c r="H525" s="28"/>
      <c r="I525" s="36"/>
      <c r="J525" s="28"/>
      <c r="K525" s="36"/>
      <c r="L525" s="36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41"/>
      <c r="B526" s="36"/>
      <c r="C526" s="36"/>
      <c r="D526" s="36"/>
      <c r="E526" s="36"/>
      <c r="F526" s="36"/>
      <c r="G526" s="36"/>
      <c r="H526" s="28"/>
      <c r="I526" s="36"/>
      <c r="J526" s="28"/>
      <c r="K526" s="36"/>
      <c r="L526" s="36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41"/>
      <c r="B527" s="36"/>
      <c r="C527" s="36"/>
      <c r="D527" s="36"/>
      <c r="E527" s="36"/>
      <c r="F527" s="36"/>
      <c r="G527" s="36"/>
      <c r="H527" s="28"/>
      <c r="I527" s="36"/>
      <c r="J527" s="28"/>
      <c r="K527" s="36"/>
      <c r="L527" s="36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41"/>
      <c r="B528" s="36"/>
      <c r="C528" s="36"/>
      <c r="D528" s="36"/>
      <c r="E528" s="36"/>
      <c r="F528" s="36"/>
      <c r="G528" s="36"/>
      <c r="H528" s="28"/>
      <c r="I528" s="36"/>
      <c r="J528" s="28"/>
      <c r="K528" s="36"/>
      <c r="L528" s="36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41"/>
      <c r="B529" s="36"/>
      <c r="C529" s="36"/>
      <c r="D529" s="36"/>
      <c r="E529" s="36"/>
      <c r="F529" s="36"/>
      <c r="G529" s="36"/>
      <c r="H529" s="28"/>
      <c r="I529" s="36"/>
      <c r="J529" s="28"/>
      <c r="K529" s="36"/>
      <c r="L529" s="36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41"/>
      <c r="B530" s="36"/>
      <c r="C530" s="36"/>
      <c r="D530" s="36"/>
      <c r="E530" s="36"/>
      <c r="F530" s="36"/>
      <c r="G530" s="36"/>
      <c r="H530" s="28"/>
      <c r="I530" s="36"/>
      <c r="J530" s="28"/>
      <c r="K530" s="36"/>
      <c r="L530" s="36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41"/>
      <c r="B531" s="36"/>
      <c r="C531" s="36"/>
      <c r="D531" s="36"/>
      <c r="E531" s="36"/>
      <c r="F531" s="36"/>
      <c r="G531" s="36"/>
      <c r="H531" s="28"/>
      <c r="I531" s="36"/>
      <c r="J531" s="28"/>
      <c r="K531" s="36"/>
      <c r="L531" s="36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41"/>
      <c r="B532" s="36"/>
      <c r="C532" s="36"/>
      <c r="D532" s="36"/>
      <c r="E532" s="36"/>
      <c r="F532" s="36"/>
      <c r="G532" s="36"/>
      <c r="H532" s="28"/>
      <c r="I532" s="36"/>
      <c r="J532" s="28"/>
      <c r="K532" s="36"/>
      <c r="L532" s="36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41"/>
      <c r="B533" s="36"/>
      <c r="C533" s="36"/>
      <c r="D533" s="36"/>
      <c r="E533" s="36"/>
      <c r="F533" s="36"/>
      <c r="G533" s="36"/>
      <c r="H533" s="28"/>
      <c r="I533" s="36"/>
      <c r="J533" s="28"/>
      <c r="K533" s="36"/>
      <c r="L533" s="36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41"/>
      <c r="B534" s="36"/>
      <c r="C534" s="36"/>
      <c r="D534" s="36"/>
      <c r="E534" s="36"/>
      <c r="F534" s="36"/>
      <c r="G534" s="36"/>
      <c r="H534" s="28"/>
      <c r="I534" s="36"/>
      <c r="J534" s="28"/>
      <c r="K534" s="36"/>
      <c r="L534" s="36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41"/>
      <c r="B535" s="36"/>
      <c r="C535" s="36"/>
      <c r="D535" s="36"/>
      <c r="E535" s="36"/>
      <c r="F535" s="36"/>
      <c r="G535" s="36"/>
      <c r="H535" s="28"/>
      <c r="I535" s="36"/>
      <c r="J535" s="28"/>
      <c r="K535" s="36"/>
      <c r="L535" s="36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11"/>
    <col customWidth="1" min="2" max="2" width="35.78"/>
    <col customWidth="1" min="3" max="6" width="10.44"/>
  </cols>
  <sheetData>
    <row r="1" ht="15.75" customHeight="1">
      <c r="A1" s="42" t="s">
        <v>26</v>
      </c>
      <c r="B1" s="42" t="s">
        <v>27</v>
      </c>
    </row>
    <row r="2" ht="15.75" customHeight="1">
      <c r="A2" s="43" t="s">
        <v>28</v>
      </c>
    </row>
    <row r="3" ht="15.75" customHeight="1">
      <c r="A3" s="43" t="s">
        <v>29</v>
      </c>
    </row>
    <row r="4" ht="15.75" customHeight="1">
      <c r="A4" s="43" t="s">
        <v>30</v>
      </c>
    </row>
    <row r="5" ht="15.75" customHeight="1">
      <c r="A5" s="43" t="s">
        <v>31</v>
      </c>
    </row>
    <row r="6" ht="15.75" customHeight="1">
      <c r="A6" s="43" t="s">
        <v>32</v>
      </c>
    </row>
    <row r="7" ht="15.75" customHeight="1">
      <c r="A7" s="43" t="s">
        <v>33</v>
      </c>
    </row>
    <row r="8" ht="15.75" customHeight="1">
      <c r="A8" s="43" t="s">
        <v>34</v>
      </c>
    </row>
    <row r="9" ht="15.75" customHeight="1">
      <c r="A9" s="43" t="s">
        <v>35</v>
      </c>
    </row>
    <row r="10" ht="15.75" customHeight="1">
      <c r="A10" s="43" t="s">
        <v>36</v>
      </c>
    </row>
    <row r="11" ht="15.75" customHeight="1">
      <c r="A11" s="43" t="s">
        <v>37</v>
      </c>
    </row>
    <row r="12" ht="15.75" customHeight="1">
      <c r="A12" s="43" t="s">
        <v>38</v>
      </c>
    </row>
    <row r="13" ht="15.75" customHeight="1">
      <c r="A13" s="43" t="s">
        <v>39</v>
      </c>
    </row>
    <row r="14" ht="15.75" customHeight="1">
      <c r="A14" s="43" t="s">
        <v>40</v>
      </c>
    </row>
    <row r="15" ht="15.75" customHeight="1">
      <c r="A15" s="43" t="s">
        <v>41</v>
      </c>
    </row>
    <row r="16" ht="15.75" customHeight="1">
      <c r="A16" s="43" t="s">
        <v>42</v>
      </c>
    </row>
    <row r="17" ht="15.75" customHeight="1">
      <c r="A17" s="43" t="s">
        <v>43</v>
      </c>
    </row>
    <row r="18" ht="15.75" customHeight="1">
      <c r="A18" s="43" t="s">
        <v>44</v>
      </c>
    </row>
    <row r="19" ht="15.75" customHeight="1">
      <c r="A19" s="43" t="s">
        <v>45</v>
      </c>
    </row>
    <row r="20" ht="15.75" customHeight="1">
      <c r="A20" s="43" t="s">
        <v>46</v>
      </c>
    </row>
    <row r="21" ht="15.75" customHeight="1">
      <c r="A21" s="43" t="s">
        <v>47</v>
      </c>
    </row>
    <row r="22" ht="15.75" customHeight="1">
      <c r="A22" s="43" t="s">
        <v>48</v>
      </c>
    </row>
    <row r="23" ht="15.75" customHeight="1">
      <c r="A23" s="43" t="s">
        <v>49</v>
      </c>
    </row>
    <row r="24" ht="15.75" customHeight="1">
      <c r="A24" s="43" t="s">
        <v>50</v>
      </c>
    </row>
    <row r="25" ht="15.75" customHeight="1">
      <c r="A25" s="43" t="s">
        <v>51</v>
      </c>
    </row>
    <row r="26" ht="15.75" customHeight="1">
      <c r="A26" s="43" t="s">
        <v>52</v>
      </c>
    </row>
    <row r="27" ht="15.75" customHeight="1">
      <c r="A27" s="43" t="s">
        <v>53</v>
      </c>
    </row>
    <row r="28" ht="15.75" customHeight="1">
      <c r="A28" s="43" t="s">
        <v>54</v>
      </c>
    </row>
    <row r="29" ht="15.75" customHeight="1">
      <c r="A29" s="43" t="s">
        <v>55</v>
      </c>
    </row>
    <row r="30" ht="15.75" customHeight="1"/>
    <row r="31" ht="15.75" customHeight="1">
      <c r="A31" s="43" t="s">
        <v>56</v>
      </c>
    </row>
    <row r="32" ht="15.75" customHeight="1">
      <c r="A32" s="43" t="s">
        <v>57</v>
      </c>
    </row>
    <row r="33" ht="15.75" customHeight="1">
      <c r="A33" s="43" t="s">
        <v>58</v>
      </c>
    </row>
    <row r="34" ht="15.75" customHeight="1">
      <c r="A34" s="43" t="s">
        <v>59</v>
      </c>
    </row>
    <row r="35" ht="15.75" customHeight="1">
      <c r="A35" s="43" t="s">
        <v>60</v>
      </c>
    </row>
    <row r="36" ht="15.75" customHeight="1">
      <c r="A36" s="43" t="s">
        <v>61</v>
      </c>
    </row>
    <row r="37" ht="15.75" customHeight="1">
      <c r="A37" s="43" t="s">
        <v>62</v>
      </c>
    </row>
    <row r="38" ht="15.75" customHeight="1">
      <c r="A38" s="43" t="s">
        <v>63</v>
      </c>
    </row>
    <row r="39" ht="15.75" customHeight="1">
      <c r="A39" s="43" t="s">
        <v>64</v>
      </c>
    </row>
    <row r="40" ht="15.75" customHeight="1">
      <c r="A40" s="43" t="s">
        <v>65</v>
      </c>
    </row>
    <row r="41" ht="15.75" customHeight="1">
      <c r="A41" s="43" t="s">
        <v>66</v>
      </c>
    </row>
    <row r="42" ht="15.75" customHeight="1">
      <c r="A42" s="43" t="s">
        <v>67</v>
      </c>
    </row>
    <row r="43" ht="15.75" customHeight="1">
      <c r="A43" s="43" t="s">
        <v>68</v>
      </c>
    </row>
    <row r="44" ht="15.75" customHeight="1">
      <c r="A44" s="43" t="s">
        <v>69</v>
      </c>
    </row>
    <row r="45" ht="15.75" customHeight="1">
      <c r="A45" s="43" t="s">
        <v>70</v>
      </c>
    </row>
    <row r="46" ht="15.75" customHeight="1">
      <c r="A46" s="43" t="s">
        <v>71</v>
      </c>
    </row>
    <row r="47" ht="15.75" customHeight="1">
      <c r="A47" s="43" t="s">
        <v>72</v>
      </c>
    </row>
    <row r="48" ht="15.75" customHeight="1">
      <c r="A48" s="43" t="s">
        <v>73</v>
      </c>
    </row>
    <row r="49" ht="15.75" customHeight="1">
      <c r="A49" s="43" t="s">
        <v>74</v>
      </c>
    </row>
    <row r="50" ht="15.75" customHeight="1">
      <c r="A50" s="43" t="s">
        <v>75</v>
      </c>
    </row>
    <row r="51" ht="15.75" customHeight="1">
      <c r="A51" s="43" t="s">
        <v>76</v>
      </c>
    </row>
    <row r="52" ht="15.75" customHeight="1">
      <c r="A52" s="43" t="s">
        <v>77</v>
      </c>
    </row>
    <row r="53" ht="15.75" customHeight="1">
      <c r="A53" s="43" t="s">
        <v>78</v>
      </c>
    </row>
    <row r="54" ht="15.75" customHeight="1">
      <c r="A54" s="43" t="s">
        <v>79</v>
      </c>
    </row>
    <row r="55" ht="15.75" customHeight="1">
      <c r="A55" s="43" t="s">
        <v>80</v>
      </c>
    </row>
    <row r="56" ht="15.75" customHeight="1">
      <c r="A56" s="43" t="s">
        <v>81</v>
      </c>
    </row>
    <row r="57" ht="15.75" customHeight="1">
      <c r="A57" s="43" t="s">
        <v>82</v>
      </c>
    </row>
    <row r="58" ht="15.75" customHeight="1">
      <c r="A58" s="43" t="s">
        <v>83</v>
      </c>
    </row>
    <row r="59" ht="15.75" customHeight="1">
      <c r="A59" s="43" t="s">
        <v>84</v>
      </c>
    </row>
    <row r="60" ht="15.75" customHeight="1">
      <c r="A60" s="43" t="s">
        <v>85</v>
      </c>
    </row>
    <row r="61" ht="15.75" customHeight="1">
      <c r="A61" s="43" t="s">
        <v>86</v>
      </c>
    </row>
    <row r="62" ht="15.75" customHeight="1">
      <c r="A62" s="43" t="s">
        <v>87</v>
      </c>
    </row>
    <row r="63" ht="15.75" customHeight="1">
      <c r="A63" s="43" t="s">
        <v>88</v>
      </c>
    </row>
    <row r="64" ht="15.75" customHeight="1"/>
    <row r="65" ht="15.75" customHeight="1">
      <c r="A65" s="43" t="s">
        <v>89</v>
      </c>
    </row>
    <row r="66" ht="15.75" customHeight="1">
      <c r="A66" s="43" t="s">
        <v>90</v>
      </c>
    </row>
    <row r="67" ht="15.75" customHeight="1">
      <c r="A67" s="43" t="s">
        <v>91</v>
      </c>
    </row>
    <row r="68" ht="15.75" customHeight="1">
      <c r="A68" s="43" t="s">
        <v>92</v>
      </c>
    </row>
    <row r="69" ht="15.75" customHeight="1">
      <c r="A69" s="43" t="s">
        <v>93</v>
      </c>
    </row>
    <row r="70" ht="15.75" customHeight="1">
      <c r="A70" s="43" t="s">
        <v>94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7" width="10.44"/>
    <col customWidth="1" min="8" max="8" width="15.67"/>
  </cols>
  <sheetData>
    <row r="1" ht="15.75" customHeight="1">
      <c r="A1" s="44" t="s">
        <v>0</v>
      </c>
      <c r="B1" s="45" t="s">
        <v>95</v>
      </c>
      <c r="C1" s="45" t="s">
        <v>96</v>
      </c>
      <c r="D1" s="45" t="s">
        <v>97</v>
      </c>
      <c r="E1" s="45" t="s">
        <v>98</v>
      </c>
      <c r="F1" s="45" t="s">
        <v>99</v>
      </c>
      <c r="G1" s="45" t="s">
        <v>100</v>
      </c>
      <c r="H1" s="45" t="s">
        <v>101</v>
      </c>
    </row>
    <row r="2" ht="15.75" customHeight="1">
      <c r="A2" s="10">
        <v>26207.0</v>
      </c>
      <c r="B2" s="46"/>
      <c r="C2" s="46"/>
      <c r="D2" s="46"/>
      <c r="E2" s="46"/>
      <c r="F2" s="46">
        <v>5.0</v>
      </c>
      <c r="G2" s="46"/>
      <c r="H2" s="46"/>
    </row>
    <row r="3" ht="15.75" customHeight="1">
      <c r="A3" s="10">
        <v>26238.0</v>
      </c>
      <c r="B3" s="46"/>
      <c r="C3" s="46"/>
      <c r="D3" s="46"/>
      <c r="E3" s="46"/>
      <c r="F3" s="46">
        <v>5.0</v>
      </c>
      <c r="G3" s="46"/>
      <c r="H3" s="46"/>
    </row>
    <row r="4" ht="15.75" customHeight="1">
      <c r="A4" s="10">
        <v>26268.0</v>
      </c>
      <c r="B4" s="46"/>
      <c r="C4" s="46"/>
      <c r="D4" s="46"/>
      <c r="E4" s="46"/>
      <c r="F4" s="46">
        <v>5.0</v>
      </c>
      <c r="G4" s="46"/>
      <c r="H4" s="46"/>
    </row>
    <row r="5" ht="15.75" customHeight="1">
      <c r="A5" s="10">
        <v>26299.0</v>
      </c>
      <c r="B5" s="46"/>
      <c r="C5" s="46"/>
      <c r="D5" s="46"/>
      <c r="E5" s="46"/>
      <c r="F5" s="46">
        <v>5.0</v>
      </c>
      <c r="G5" s="46"/>
      <c r="H5" s="46"/>
    </row>
    <row r="6" ht="15.75" customHeight="1">
      <c r="A6" s="10">
        <v>26330.0</v>
      </c>
      <c r="B6" s="46"/>
      <c r="C6" s="46"/>
      <c r="D6" s="46"/>
      <c r="E6" s="46"/>
      <c r="F6" s="46">
        <v>5.0</v>
      </c>
      <c r="G6" s="46"/>
      <c r="H6" s="46"/>
    </row>
    <row r="7" ht="15.75" customHeight="1">
      <c r="A7" s="10">
        <v>26359.0</v>
      </c>
      <c r="B7" s="46"/>
      <c r="C7" s="46"/>
      <c r="D7" s="46"/>
      <c r="E7" s="46"/>
      <c r="F7" s="46">
        <v>5.0</v>
      </c>
      <c r="G7" s="46"/>
      <c r="H7" s="46"/>
    </row>
    <row r="8" ht="15.75" customHeight="1">
      <c r="A8" s="10">
        <v>26390.0</v>
      </c>
      <c r="B8" s="46"/>
      <c r="C8" s="46"/>
      <c r="D8" s="46"/>
      <c r="E8" s="46"/>
      <c r="F8" s="46">
        <v>5.0</v>
      </c>
      <c r="G8" s="46"/>
      <c r="H8" s="46"/>
    </row>
    <row r="9" ht="15.75" customHeight="1">
      <c r="A9" s="10">
        <v>26420.0</v>
      </c>
      <c r="B9" s="46"/>
      <c r="C9" s="46"/>
      <c r="D9" s="46"/>
      <c r="E9" s="46"/>
      <c r="F9" s="46">
        <v>5.0</v>
      </c>
      <c r="G9" s="46"/>
      <c r="H9" s="46"/>
    </row>
    <row r="10" ht="15.75" customHeight="1">
      <c r="A10" s="10">
        <v>26451.0</v>
      </c>
      <c r="B10" s="46"/>
      <c r="C10" s="46"/>
      <c r="D10" s="46"/>
      <c r="E10" s="46"/>
      <c r="F10" s="46">
        <v>5.0</v>
      </c>
      <c r="G10" s="46"/>
      <c r="H10" s="46"/>
    </row>
    <row r="11" ht="15.75" customHeight="1">
      <c r="A11" s="10">
        <v>26481.0</v>
      </c>
      <c r="B11" s="46"/>
      <c r="C11" s="46"/>
      <c r="D11" s="46"/>
      <c r="E11" s="46"/>
      <c r="F11" s="46">
        <v>6.0</v>
      </c>
      <c r="G11" s="46"/>
      <c r="H11" s="46"/>
    </row>
    <row r="12" ht="15.75" customHeight="1">
      <c r="A12" s="10">
        <v>26512.0</v>
      </c>
      <c r="B12" s="46"/>
      <c r="C12" s="46"/>
      <c r="D12" s="46"/>
      <c r="E12" s="46"/>
      <c r="F12" s="46">
        <v>6.0</v>
      </c>
      <c r="G12" s="46"/>
      <c r="H12" s="46"/>
    </row>
    <row r="13" ht="15.75" customHeight="1">
      <c r="A13" s="10">
        <v>26543.0</v>
      </c>
      <c r="B13" s="46"/>
      <c r="C13" s="46"/>
      <c r="D13" s="46"/>
      <c r="E13" s="46"/>
      <c r="F13" s="46">
        <v>6.0</v>
      </c>
      <c r="G13" s="46"/>
      <c r="H13" s="46"/>
    </row>
    <row r="14" ht="15.75" customHeight="1">
      <c r="A14" s="10">
        <v>26573.0</v>
      </c>
      <c r="B14" s="46"/>
      <c r="C14" s="46"/>
      <c r="D14" s="46"/>
      <c r="E14" s="46"/>
      <c r="F14" s="46">
        <v>6.0</v>
      </c>
      <c r="G14" s="46"/>
      <c r="H14" s="46"/>
    </row>
    <row r="15" ht="15.75" customHeight="1">
      <c r="A15" s="10">
        <v>26604.0</v>
      </c>
      <c r="B15" s="46"/>
      <c r="C15" s="46"/>
      <c r="D15" s="46"/>
      <c r="E15" s="46"/>
      <c r="F15" s="46">
        <v>7.5</v>
      </c>
      <c r="G15" s="46"/>
      <c r="H15" s="46"/>
    </row>
    <row r="16" ht="15.75" customHeight="1">
      <c r="A16" s="10">
        <v>26634.0</v>
      </c>
      <c r="B16" s="46"/>
      <c r="C16" s="46"/>
      <c r="D16" s="46"/>
      <c r="E16" s="46"/>
      <c r="F16" s="46">
        <v>7.5</v>
      </c>
      <c r="G16" s="46"/>
      <c r="H16" s="46"/>
    </row>
    <row r="17" ht="15.75" customHeight="1">
      <c r="A17" s="10">
        <v>26665.0</v>
      </c>
      <c r="B17" s="46"/>
      <c r="C17" s="46"/>
      <c r="D17" s="46"/>
      <c r="E17" s="46"/>
      <c r="F17" s="46">
        <v>9.0</v>
      </c>
      <c r="G17" s="46"/>
      <c r="H17" s="46"/>
    </row>
    <row r="18" ht="15.75" customHeight="1">
      <c r="A18" s="10">
        <v>26696.0</v>
      </c>
      <c r="B18" s="46"/>
      <c r="C18" s="46"/>
      <c r="D18" s="46"/>
      <c r="E18" s="46"/>
      <c r="F18" s="46">
        <v>8.75</v>
      </c>
      <c r="G18" s="46"/>
      <c r="H18" s="46"/>
    </row>
    <row r="19" ht="15.75" customHeight="1">
      <c r="A19" s="10">
        <v>26724.0</v>
      </c>
      <c r="B19" s="46"/>
      <c r="C19" s="46"/>
      <c r="D19" s="46"/>
      <c r="E19" s="46"/>
      <c r="F19" s="46">
        <v>8.75</v>
      </c>
      <c r="G19" s="46"/>
      <c r="H19" s="46"/>
    </row>
    <row r="20" ht="15.75" customHeight="1">
      <c r="A20" s="10">
        <v>26755.0</v>
      </c>
      <c r="B20" s="46"/>
      <c r="C20" s="46"/>
      <c r="D20" s="46"/>
      <c r="E20" s="46"/>
      <c r="F20" s="46">
        <v>8.5</v>
      </c>
      <c r="G20" s="46"/>
      <c r="H20" s="46"/>
    </row>
    <row r="21" ht="15.75" customHeight="1">
      <c r="A21" s="10">
        <v>26785.0</v>
      </c>
      <c r="B21" s="46"/>
      <c r="C21" s="46"/>
      <c r="D21" s="46"/>
      <c r="E21" s="46"/>
      <c r="F21" s="46">
        <v>8.25</v>
      </c>
      <c r="G21" s="46"/>
      <c r="H21" s="46"/>
    </row>
    <row r="22" ht="15.75" customHeight="1">
      <c r="A22" s="10">
        <v>26816.0</v>
      </c>
      <c r="B22" s="46"/>
      <c r="C22" s="46"/>
      <c r="D22" s="46"/>
      <c r="E22" s="46"/>
      <c r="F22" s="46">
        <v>7.75</v>
      </c>
      <c r="G22" s="46"/>
      <c r="H22" s="46"/>
    </row>
    <row r="23" ht="15.75" customHeight="1">
      <c r="A23" s="10">
        <v>26846.0</v>
      </c>
      <c r="B23" s="46"/>
      <c r="C23" s="46"/>
      <c r="D23" s="46"/>
      <c r="E23" s="46"/>
      <c r="F23" s="46">
        <v>7.5</v>
      </c>
      <c r="G23" s="46"/>
      <c r="H23" s="46"/>
    </row>
    <row r="24" ht="15.75" customHeight="1">
      <c r="A24" s="10">
        <v>26877.0</v>
      </c>
      <c r="B24" s="46"/>
      <c r="C24" s="46"/>
      <c r="D24" s="46"/>
      <c r="E24" s="46"/>
      <c r="F24" s="46">
        <v>11.5</v>
      </c>
      <c r="G24" s="46"/>
      <c r="H24" s="46"/>
    </row>
    <row r="25" ht="15.75" customHeight="1">
      <c r="A25" s="10">
        <v>26908.0</v>
      </c>
      <c r="B25" s="46"/>
      <c r="C25" s="46"/>
      <c r="D25" s="46"/>
      <c r="E25" s="46"/>
      <c r="F25" s="46">
        <v>11.5</v>
      </c>
      <c r="G25" s="46"/>
      <c r="H25" s="46"/>
    </row>
    <row r="26" ht="15.75" customHeight="1">
      <c r="A26" s="10">
        <v>26938.0</v>
      </c>
      <c r="B26" s="46"/>
      <c r="C26" s="46"/>
      <c r="D26" s="46"/>
      <c r="E26" s="46"/>
      <c r="F26" s="46">
        <v>11.5</v>
      </c>
      <c r="G26" s="46"/>
      <c r="H26" s="46"/>
    </row>
    <row r="27" ht="15.75" customHeight="1">
      <c r="A27" s="10">
        <v>26969.0</v>
      </c>
      <c r="B27" s="46"/>
      <c r="C27" s="46"/>
      <c r="D27" s="46"/>
      <c r="E27" s="46"/>
      <c r="F27" s="46">
        <v>11.25</v>
      </c>
      <c r="G27" s="46"/>
      <c r="H27" s="46"/>
    </row>
    <row r="28" ht="15.75" customHeight="1">
      <c r="A28" s="10">
        <v>26999.0</v>
      </c>
      <c r="B28" s="46"/>
      <c r="C28" s="46"/>
      <c r="D28" s="46"/>
      <c r="E28" s="46"/>
      <c r="F28" s="46">
        <v>13.0</v>
      </c>
      <c r="G28" s="46"/>
      <c r="H28" s="46"/>
    </row>
    <row r="29" ht="15.75" customHeight="1">
      <c r="A29" s="10">
        <v>27030.0</v>
      </c>
      <c r="B29" s="46"/>
      <c r="C29" s="46"/>
      <c r="D29" s="46"/>
      <c r="E29" s="46"/>
      <c r="F29" s="46">
        <v>13.0</v>
      </c>
      <c r="G29" s="46"/>
      <c r="H29" s="46"/>
    </row>
    <row r="30" ht="15.75" customHeight="1">
      <c r="A30" s="10">
        <v>27061.0</v>
      </c>
      <c r="B30" s="46"/>
      <c r="C30" s="46"/>
      <c r="D30" s="46"/>
      <c r="E30" s="46"/>
      <c r="F30" s="46">
        <v>12.75</v>
      </c>
      <c r="G30" s="46"/>
      <c r="H30" s="46"/>
    </row>
    <row r="31" ht="15.75" customHeight="1">
      <c r="A31" s="10">
        <v>27089.0</v>
      </c>
      <c r="B31" s="46"/>
      <c r="C31" s="46"/>
      <c r="D31" s="46"/>
      <c r="E31" s="46"/>
      <c r="F31" s="46">
        <v>12.5</v>
      </c>
      <c r="G31" s="46"/>
      <c r="H31" s="46"/>
    </row>
    <row r="32" ht="15.75" customHeight="1">
      <c r="A32" s="10">
        <v>27120.0</v>
      </c>
      <c r="B32" s="46"/>
      <c r="C32" s="46"/>
      <c r="D32" s="46"/>
      <c r="E32" s="46"/>
      <c r="F32" s="46">
        <v>12.5</v>
      </c>
      <c r="G32" s="46"/>
      <c r="H32" s="46"/>
    </row>
    <row r="33" ht="15.75" customHeight="1">
      <c r="A33" s="10">
        <v>27150.0</v>
      </c>
      <c r="B33" s="46"/>
      <c r="C33" s="46"/>
      <c r="D33" s="46"/>
      <c r="E33" s="46"/>
      <c r="F33" s="46">
        <v>12.0</v>
      </c>
      <c r="G33" s="46"/>
      <c r="H33" s="46"/>
    </row>
    <row r="34" ht="15.75" customHeight="1">
      <c r="A34" s="10">
        <v>27181.0</v>
      </c>
      <c r="B34" s="46"/>
      <c r="C34" s="46"/>
      <c r="D34" s="46"/>
      <c r="E34" s="46"/>
      <c r="F34" s="46">
        <v>11.75</v>
      </c>
      <c r="G34" s="46"/>
      <c r="H34" s="46"/>
    </row>
    <row r="35" ht="15.75" customHeight="1">
      <c r="A35" s="10">
        <v>27211.0</v>
      </c>
      <c r="B35" s="46"/>
      <c r="C35" s="46"/>
      <c r="D35" s="46"/>
      <c r="E35" s="46"/>
      <c r="F35" s="46">
        <v>11.75</v>
      </c>
      <c r="G35" s="46"/>
      <c r="H35" s="46"/>
    </row>
    <row r="36" ht="15.75" customHeight="1">
      <c r="A36" s="10">
        <v>27242.0</v>
      </c>
      <c r="B36" s="46"/>
      <c r="C36" s="46"/>
      <c r="D36" s="46"/>
      <c r="E36" s="46"/>
      <c r="F36" s="46">
        <v>11.75</v>
      </c>
      <c r="G36" s="46"/>
      <c r="H36" s="46"/>
    </row>
    <row r="37" ht="15.75" customHeight="1">
      <c r="A37" s="10">
        <v>27273.0</v>
      </c>
      <c r="B37" s="46"/>
      <c r="C37" s="46"/>
      <c r="D37" s="46"/>
      <c r="E37" s="46"/>
      <c r="F37" s="46">
        <v>11.75</v>
      </c>
      <c r="G37" s="46"/>
      <c r="H37" s="46"/>
    </row>
    <row r="38" ht="15.75" customHeight="1">
      <c r="A38" s="10">
        <v>27303.0</v>
      </c>
      <c r="B38" s="46"/>
      <c r="C38" s="46"/>
      <c r="D38" s="46"/>
      <c r="E38" s="46"/>
      <c r="F38" s="46">
        <v>11.5</v>
      </c>
      <c r="G38" s="46"/>
      <c r="H38" s="46"/>
    </row>
    <row r="39" ht="15.75" customHeight="1">
      <c r="A39" s="10">
        <v>27334.0</v>
      </c>
      <c r="B39" s="46"/>
      <c r="C39" s="46"/>
      <c r="D39" s="46"/>
      <c r="E39" s="46"/>
      <c r="F39" s="46">
        <v>11.5</v>
      </c>
      <c r="G39" s="46"/>
      <c r="H39" s="46"/>
    </row>
    <row r="40" ht="15.75" customHeight="1">
      <c r="A40" s="10">
        <v>27364.0</v>
      </c>
      <c r="B40" s="46"/>
      <c r="C40" s="46"/>
      <c r="D40" s="46"/>
      <c r="E40" s="46"/>
      <c r="F40" s="46">
        <v>11.5</v>
      </c>
      <c r="G40" s="46"/>
      <c r="H40" s="46"/>
    </row>
    <row r="41" ht="15.75" customHeight="1">
      <c r="A41" s="10">
        <v>27395.0</v>
      </c>
      <c r="B41" s="46"/>
      <c r="C41" s="46"/>
      <c r="D41" s="46"/>
      <c r="E41" s="46"/>
      <c r="F41" s="46">
        <v>11.5</v>
      </c>
      <c r="G41" s="46"/>
      <c r="H41" s="46"/>
    </row>
    <row r="42" ht="15.75" customHeight="1">
      <c r="A42" s="10">
        <v>27426.0</v>
      </c>
      <c r="B42" s="46"/>
      <c r="C42" s="46"/>
      <c r="D42" s="46"/>
      <c r="E42" s="46"/>
      <c r="F42" s="46">
        <v>11.0</v>
      </c>
      <c r="G42" s="46"/>
      <c r="H42" s="46"/>
    </row>
    <row r="43" ht="15.75" customHeight="1">
      <c r="A43" s="10">
        <v>27454.0</v>
      </c>
      <c r="B43" s="46"/>
      <c r="C43" s="46"/>
      <c r="D43" s="46"/>
      <c r="E43" s="46"/>
      <c r="F43" s="46">
        <v>10.5</v>
      </c>
      <c r="G43" s="46"/>
      <c r="H43" s="46"/>
    </row>
    <row r="44" ht="15.75" customHeight="1">
      <c r="A44" s="10">
        <v>27485.0</v>
      </c>
      <c r="B44" s="46"/>
      <c r="C44" s="46"/>
      <c r="D44" s="46"/>
      <c r="E44" s="46"/>
      <c r="F44" s="46">
        <v>10.0</v>
      </c>
      <c r="G44" s="46"/>
      <c r="H44" s="46"/>
    </row>
    <row r="45" ht="15.75" customHeight="1">
      <c r="A45" s="10">
        <v>27515.0</v>
      </c>
      <c r="B45" s="46"/>
      <c r="C45" s="46"/>
      <c r="D45" s="46"/>
      <c r="E45" s="46"/>
      <c r="F45" s="46">
        <v>9.75</v>
      </c>
      <c r="G45" s="46"/>
      <c r="H45" s="46"/>
    </row>
    <row r="46" ht="15.75" customHeight="1">
      <c r="A46" s="10">
        <v>27546.0</v>
      </c>
      <c r="B46" s="46"/>
      <c r="C46" s="46"/>
      <c r="D46" s="46"/>
      <c r="E46" s="46"/>
      <c r="F46" s="46">
        <v>10.0</v>
      </c>
      <c r="G46" s="46"/>
      <c r="H46" s="46"/>
    </row>
    <row r="47" ht="15.75" customHeight="1">
      <c r="A47" s="10">
        <v>27576.0</v>
      </c>
      <c r="B47" s="46"/>
      <c r="C47" s="46"/>
      <c r="D47" s="46"/>
      <c r="E47" s="46"/>
      <c r="F47" s="46">
        <v>10.0</v>
      </c>
      <c r="G47" s="46"/>
      <c r="H47" s="46"/>
    </row>
    <row r="48" ht="15.75" customHeight="1">
      <c r="A48" s="10">
        <v>27607.0</v>
      </c>
      <c r="B48" s="46"/>
      <c r="C48" s="46"/>
      <c r="D48" s="46"/>
      <c r="E48" s="46"/>
      <c r="F48" s="46">
        <v>11.0</v>
      </c>
      <c r="G48" s="46"/>
      <c r="H48" s="46"/>
    </row>
    <row r="49" ht="15.75" customHeight="1">
      <c r="A49" s="10">
        <v>27638.0</v>
      </c>
      <c r="B49" s="46"/>
      <c r="C49" s="46"/>
      <c r="D49" s="46"/>
      <c r="E49" s="46"/>
      <c r="F49" s="46">
        <v>11.0</v>
      </c>
      <c r="G49" s="46"/>
      <c r="H49" s="46"/>
    </row>
    <row r="50" ht="15.75" customHeight="1">
      <c r="A50" s="10">
        <v>27668.0</v>
      </c>
      <c r="B50" s="46"/>
      <c r="C50" s="46"/>
      <c r="D50" s="46"/>
      <c r="E50" s="46"/>
      <c r="F50" s="46">
        <v>11.0</v>
      </c>
      <c r="G50" s="46"/>
      <c r="H50" s="46"/>
    </row>
    <row r="51" ht="15.75" customHeight="1">
      <c r="A51" s="10">
        <v>27699.0</v>
      </c>
      <c r="B51" s="46"/>
      <c r="C51" s="46"/>
      <c r="D51" s="46"/>
      <c r="E51" s="46"/>
      <c r="F51" s="46">
        <v>12.0</v>
      </c>
      <c r="G51" s="46"/>
      <c r="H51" s="46"/>
    </row>
    <row r="52" ht="15.75" customHeight="1">
      <c r="A52" s="10">
        <v>27729.0</v>
      </c>
      <c r="B52" s="46"/>
      <c r="C52" s="46"/>
      <c r="D52" s="46"/>
      <c r="E52" s="46"/>
      <c r="F52" s="46">
        <v>11.75</v>
      </c>
      <c r="G52" s="46"/>
      <c r="H52" s="46"/>
    </row>
    <row r="53" ht="15.75" customHeight="1">
      <c r="A53" s="10">
        <v>27760.0</v>
      </c>
      <c r="B53" s="46"/>
      <c r="C53" s="46"/>
      <c r="D53" s="46"/>
      <c r="E53" s="46"/>
      <c r="F53" s="46">
        <v>11.25</v>
      </c>
      <c r="G53" s="46"/>
      <c r="H53" s="46"/>
    </row>
    <row r="54" ht="15.75" customHeight="1">
      <c r="A54" s="10">
        <v>27791.0</v>
      </c>
      <c r="B54" s="46"/>
      <c r="C54" s="46"/>
      <c r="D54" s="46"/>
      <c r="E54" s="46"/>
      <c r="F54" s="46">
        <v>10.5</v>
      </c>
      <c r="G54" s="46"/>
      <c r="H54" s="46"/>
    </row>
    <row r="55" ht="15.75" customHeight="1">
      <c r="A55" s="10">
        <v>27820.0</v>
      </c>
      <c r="B55" s="46"/>
      <c r="C55" s="46"/>
      <c r="D55" s="46"/>
      <c r="E55" s="46"/>
      <c r="F55" s="46">
        <v>9.5</v>
      </c>
      <c r="G55" s="46"/>
      <c r="H55" s="46"/>
    </row>
    <row r="56" ht="15.75" customHeight="1">
      <c r="A56" s="10">
        <v>27851.0</v>
      </c>
      <c r="B56" s="46"/>
      <c r="C56" s="46"/>
      <c r="D56" s="46"/>
      <c r="E56" s="46"/>
      <c r="F56" s="46">
        <v>9.0</v>
      </c>
      <c r="G56" s="46"/>
      <c r="H56" s="46"/>
    </row>
    <row r="57" ht="15.75" customHeight="1">
      <c r="A57" s="10">
        <v>27881.0</v>
      </c>
      <c r="B57" s="46"/>
      <c r="C57" s="46"/>
      <c r="D57" s="46"/>
      <c r="E57" s="46"/>
      <c r="F57" s="46">
        <v>10.5</v>
      </c>
      <c r="G57" s="46"/>
      <c r="H57" s="46"/>
    </row>
    <row r="58" ht="15.75" customHeight="1">
      <c r="A58" s="10">
        <v>27912.0</v>
      </c>
      <c r="B58" s="46"/>
      <c r="C58" s="46"/>
      <c r="D58" s="46"/>
      <c r="E58" s="46"/>
      <c r="F58" s="46">
        <v>11.5</v>
      </c>
      <c r="G58" s="46"/>
      <c r="H58" s="46"/>
    </row>
    <row r="59" ht="15.75" customHeight="1">
      <c r="A59" s="10">
        <v>27942.0</v>
      </c>
      <c r="B59" s="46"/>
      <c r="C59" s="46"/>
      <c r="D59" s="46"/>
      <c r="E59" s="46"/>
      <c r="F59" s="46">
        <v>11.5</v>
      </c>
      <c r="G59" s="46"/>
      <c r="H59" s="46"/>
    </row>
    <row r="60" ht="15.75" customHeight="1">
      <c r="A60" s="10">
        <v>27973.0</v>
      </c>
      <c r="B60" s="46"/>
      <c r="C60" s="46"/>
      <c r="D60" s="46"/>
      <c r="E60" s="46"/>
      <c r="F60" s="46">
        <v>11.5</v>
      </c>
      <c r="G60" s="46"/>
      <c r="H60" s="46"/>
    </row>
    <row r="61" ht="15.75" customHeight="1">
      <c r="A61" s="10">
        <v>28004.0</v>
      </c>
      <c r="B61" s="46"/>
      <c r="C61" s="46"/>
      <c r="D61" s="46"/>
      <c r="E61" s="46"/>
      <c r="F61" s="46">
        <v>11.5</v>
      </c>
      <c r="G61" s="46"/>
      <c r="H61" s="46"/>
    </row>
    <row r="62" ht="15.75" customHeight="1">
      <c r="A62" s="10">
        <v>28034.0</v>
      </c>
      <c r="B62" s="46"/>
      <c r="C62" s="46"/>
      <c r="D62" s="46"/>
      <c r="E62" s="46"/>
      <c r="F62" s="46">
        <v>13.0</v>
      </c>
      <c r="G62" s="46"/>
      <c r="H62" s="46"/>
    </row>
    <row r="63" ht="15.75" customHeight="1">
      <c r="A63" s="10">
        <v>28065.0</v>
      </c>
      <c r="B63" s="46"/>
      <c r="C63" s="46"/>
      <c r="D63" s="46"/>
      <c r="E63" s="46"/>
      <c r="F63" s="46">
        <v>15.0</v>
      </c>
      <c r="G63" s="46"/>
      <c r="H63" s="46"/>
    </row>
    <row r="64" ht="15.75" customHeight="1">
      <c r="A64" s="10">
        <v>28095.0</v>
      </c>
      <c r="B64" s="46"/>
      <c r="C64" s="46"/>
      <c r="D64" s="46"/>
      <c r="E64" s="46"/>
      <c r="F64" s="46">
        <v>14.75</v>
      </c>
      <c r="G64" s="46"/>
      <c r="H64" s="46"/>
    </row>
    <row r="65" ht="15.75" customHeight="1">
      <c r="A65" s="10">
        <v>28126.0</v>
      </c>
      <c r="B65" s="46"/>
      <c r="C65" s="46"/>
      <c r="D65" s="46"/>
      <c r="E65" s="46"/>
      <c r="F65" s="46">
        <v>14.25</v>
      </c>
      <c r="G65" s="46"/>
      <c r="H65" s="46"/>
    </row>
    <row r="66" ht="15.75" customHeight="1">
      <c r="A66" s="10">
        <v>28157.0</v>
      </c>
      <c r="B66" s="46"/>
      <c r="C66" s="46"/>
      <c r="D66" s="46"/>
      <c r="E66" s="46"/>
      <c r="F66" s="46">
        <v>13.25</v>
      </c>
      <c r="G66" s="46"/>
      <c r="H66" s="46"/>
    </row>
    <row r="67" ht="15.75" customHeight="1">
      <c r="A67" s="10">
        <v>28185.0</v>
      </c>
      <c r="B67" s="46"/>
      <c r="C67" s="46"/>
      <c r="D67" s="46"/>
      <c r="E67" s="46"/>
      <c r="F67" s="46">
        <v>12.0</v>
      </c>
      <c r="G67" s="46"/>
      <c r="H67" s="46"/>
    </row>
    <row r="68" ht="15.75" customHeight="1">
      <c r="A68" s="10">
        <v>28216.0</v>
      </c>
      <c r="B68" s="46"/>
      <c r="C68" s="46"/>
      <c r="D68" s="46"/>
      <c r="E68" s="46"/>
      <c r="F68" s="46">
        <v>9.5</v>
      </c>
      <c r="G68" s="46"/>
      <c r="H68" s="46"/>
    </row>
    <row r="69" ht="15.75" customHeight="1">
      <c r="A69" s="10">
        <v>28246.0</v>
      </c>
      <c r="B69" s="46"/>
      <c r="C69" s="46"/>
      <c r="D69" s="46"/>
      <c r="E69" s="46"/>
      <c r="F69" s="46">
        <v>8.75</v>
      </c>
      <c r="G69" s="46"/>
      <c r="H69" s="46"/>
    </row>
    <row r="70" ht="15.75" customHeight="1">
      <c r="A70" s="10">
        <v>28277.0</v>
      </c>
      <c r="B70" s="46"/>
      <c r="C70" s="46"/>
      <c r="D70" s="46"/>
      <c r="E70" s="46"/>
      <c r="F70" s="46">
        <v>8.0</v>
      </c>
      <c r="G70" s="46"/>
      <c r="H70" s="46"/>
    </row>
    <row r="71" ht="15.75" customHeight="1">
      <c r="A71" s="10">
        <v>28307.0</v>
      </c>
      <c r="B71" s="46"/>
      <c r="C71" s="46"/>
      <c r="D71" s="46"/>
      <c r="E71" s="46"/>
      <c r="F71" s="46">
        <v>8.0</v>
      </c>
      <c r="G71" s="46"/>
      <c r="H71" s="46"/>
    </row>
    <row r="72" ht="15.75" customHeight="1">
      <c r="A72" s="10">
        <v>28338.0</v>
      </c>
      <c r="B72" s="46"/>
      <c r="C72" s="46"/>
      <c r="D72" s="46"/>
      <c r="E72" s="46"/>
      <c r="F72" s="46">
        <v>8.0</v>
      </c>
      <c r="G72" s="46"/>
      <c r="H72" s="46"/>
    </row>
    <row r="73" ht="15.75" customHeight="1">
      <c r="A73" s="10">
        <v>28369.0</v>
      </c>
      <c r="B73" s="46"/>
      <c r="C73" s="46"/>
      <c r="D73" s="46"/>
      <c r="E73" s="46"/>
      <c r="F73" s="46">
        <v>7.0</v>
      </c>
      <c r="G73" s="46"/>
      <c r="H73" s="46"/>
    </row>
    <row r="74" ht="15.75" customHeight="1">
      <c r="A74" s="10">
        <v>28399.0</v>
      </c>
      <c r="B74" s="46"/>
      <c r="C74" s="46"/>
      <c r="D74" s="46"/>
      <c r="E74" s="46"/>
      <c r="F74" s="46">
        <v>6.0</v>
      </c>
      <c r="G74" s="46"/>
      <c r="H74" s="46"/>
    </row>
    <row r="75" ht="15.75" customHeight="1">
      <c r="A75" s="10">
        <v>28430.0</v>
      </c>
      <c r="B75" s="46"/>
      <c r="C75" s="46"/>
      <c r="D75" s="46"/>
      <c r="E75" s="46"/>
      <c r="F75" s="46">
        <v>5.0</v>
      </c>
      <c r="G75" s="46"/>
      <c r="H75" s="46"/>
    </row>
    <row r="76" ht="15.75" customHeight="1">
      <c r="A76" s="10">
        <v>28460.0</v>
      </c>
      <c r="B76" s="46"/>
      <c r="C76" s="46"/>
      <c r="D76" s="46"/>
      <c r="E76" s="46"/>
      <c r="F76" s="46">
        <v>7.0</v>
      </c>
      <c r="G76" s="46"/>
      <c r="H76" s="46"/>
    </row>
    <row r="77" ht="15.75" customHeight="1">
      <c r="A77" s="10">
        <v>28491.0</v>
      </c>
      <c r="B77" s="46"/>
      <c r="C77" s="46"/>
      <c r="D77" s="46"/>
      <c r="E77" s="46"/>
      <c r="F77" s="46">
        <v>7.0</v>
      </c>
      <c r="G77" s="46"/>
      <c r="H77" s="46"/>
    </row>
    <row r="78" ht="15.75" customHeight="1">
      <c r="A78" s="10">
        <v>28522.0</v>
      </c>
      <c r="B78" s="46"/>
      <c r="C78" s="46"/>
      <c r="D78" s="46"/>
      <c r="E78" s="46"/>
      <c r="F78" s="46">
        <v>6.5</v>
      </c>
      <c r="G78" s="46"/>
      <c r="H78" s="46"/>
    </row>
    <row r="79" ht="15.75" customHeight="1">
      <c r="A79" s="10">
        <v>28550.0</v>
      </c>
      <c r="B79" s="46"/>
      <c r="C79" s="46"/>
      <c r="D79" s="46"/>
      <c r="E79" s="46"/>
      <c r="F79" s="46">
        <v>6.5</v>
      </c>
      <c r="G79" s="46"/>
      <c r="H79" s="46"/>
    </row>
    <row r="80" ht="15.75" customHeight="1">
      <c r="A80" s="10">
        <v>28581.0</v>
      </c>
      <c r="B80" s="46"/>
      <c r="C80" s="46"/>
      <c r="D80" s="46"/>
      <c r="E80" s="46"/>
      <c r="F80" s="46">
        <v>6.5</v>
      </c>
      <c r="G80" s="46"/>
      <c r="H80" s="46"/>
    </row>
    <row r="81" ht="15.75" customHeight="1">
      <c r="A81" s="10">
        <v>28611.0</v>
      </c>
      <c r="B81" s="46"/>
      <c r="C81" s="46"/>
      <c r="D81" s="46"/>
      <c r="E81" s="46"/>
      <c r="F81" s="46">
        <v>7.5</v>
      </c>
      <c r="G81" s="46"/>
      <c r="H81" s="46"/>
    </row>
    <row r="82" ht="15.75" customHeight="1">
      <c r="A82" s="10">
        <v>28642.0</v>
      </c>
      <c r="B82" s="46"/>
      <c r="C82" s="46"/>
      <c r="D82" s="46"/>
      <c r="E82" s="46"/>
      <c r="F82" s="46">
        <v>9.0</v>
      </c>
      <c r="G82" s="46"/>
      <c r="H82" s="46"/>
    </row>
    <row r="83" ht="15.75" customHeight="1">
      <c r="A83" s="10">
        <v>28672.0</v>
      </c>
      <c r="B83" s="46"/>
      <c r="C83" s="46"/>
      <c r="D83" s="46"/>
      <c r="E83" s="46"/>
      <c r="F83" s="46">
        <v>10.0</v>
      </c>
      <c r="G83" s="46"/>
      <c r="H83" s="46"/>
    </row>
    <row r="84" ht="15.75" customHeight="1">
      <c r="A84" s="10">
        <v>28703.0</v>
      </c>
      <c r="B84" s="46"/>
      <c r="C84" s="46"/>
      <c r="D84" s="46"/>
      <c r="E84" s="46"/>
      <c r="F84" s="46">
        <v>10.0</v>
      </c>
      <c r="G84" s="46"/>
      <c r="H84" s="46"/>
    </row>
    <row r="85" ht="15.75" customHeight="1">
      <c r="A85" s="10">
        <v>28734.0</v>
      </c>
      <c r="B85" s="46"/>
      <c r="C85" s="46"/>
      <c r="D85" s="46"/>
      <c r="E85" s="46"/>
      <c r="F85" s="46">
        <v>10.0</v>
      </c>
      <c r="G85" s="46"/>
      <c r="H85" s="46"/>
    </row>
    <row r="86" ht="15.75" customHeight="1">
      <c r="A86" s="10">
        <v>28764.0</v>
      </c>
      <c r="B86" s="46"/>
      <c r="C86" s="46"/>
      <c r="D86" s="46"/>
      <c r="E86" s="46"/>
      <c r="F86" s="46">
        <v>10.0</v>
      </c>
      <c r="G86" s="46"/>
      <c r="H86" s="46"/>
    </row>
    <row r="87" ht="15.75" customHeight="1">
      <c r="A87" s="10">
        <v>28795.0</v>
      </c>
      <c r="B87" s="46"/>
      <c r="C87" s="46"/>
      <c r="D87" s="46"/>
      <c r="E87" s="46"/>
      <c r="F87" s="46">
        <v>10.0</v>
      </c>
      <c r="G87" s="46"/>
      <c r="H87" s="46"/>
    </row>
    <row r="88" ht="15.75" customHeight="1">
      <c r="A88" s="10">
        <v>28825.0</v>
      </c>
      <c r="B88" s="46"/>
      <c r="C88" s="46"/>
      <c r="D88" s="46"/>
      <c r="E88" s="46"/>
      <c r="F88" s="46">
        <v>12.5</v>
      </c>
      <c r="G88" s="46"/>
      <c r="H88" s="46"/>
    </row>
    <row r="89" ht="15.75" customHeight="1">
      <c r="A89" s="10">
        <v>28856.0</v>
      </c>
      <c r="B89" s="46"/>
      <c r="C89" s="46"/>
      <c r="D89" s="46"/>
      <c r="E89" s="46"/>
      <c r="F89" s="46">
        <v>12.5</v>
      </c>
      <c r="G89" s="46"/>
      <c r="H89" s="46"/>
    </row>
    <row r="90" ht="15.75" customHeight="1">
      <c r="A90" s="10">
        <v>28887.0</v>
      </c>
      <c r="B90" s="46"/>
      <c r="C90" s="46"/>
      <c r="D90" s="46"/>
      <c r="E90" s="46"/>
      <c r="F90" s="46">
        <v>12.5</v>
      </c>
      <c r="G90" s="46"/>
      <c r="H90" s="46"/>
    </row>
    <row r="91" ht="15.75" customHeight="1">
      <c r="A91" s="10">
        <v>28915.0</v>
      </c>
      <c r="B91" s="46"/>
      <c r="C91" s="46"/>
      <c r="D91" s="46"/>
      <c r="E91" s="46"/>
      <c r="F91" s="46">
        <v>14.0</v>
      </c>
      <c r="G91" s="46"/>
      <c r="H91" s="46"/>
    </row>
    <row r="92" ht="15.75" customHeight="1">
      <c r="A92" s="10">
        <v>28946.0</v>
      </c>
      <c r="B92" s="46"/>
      <c r="C92" s="46"/>
      <c r="D92" s="46"/>
      <c r="E92" s="46"/>
      <c r="F92" s="46">
        <v>13.0</v>
      </c>
      <c r="G92" s="46"/>
      <c r="H92" s="46"/>
    </row>
    <row r="93" ht="15.75" customHeight="1">
      <c r="A93" s="10">
        <v>28976.0</v>
      </c>
      <c r="B93" s="46"/>
      <c r="C93" s="46"/>
      <c r="D93" s="46"/>
      <c r="E93" s="46"/>
      <c r="F93" s="46">
        <v>12.0</v>
      </c>
      <c r="G93" s="46"/>
      <c r="H93" s="46"/>
    </row>
    <row r="94" ht="15.75" customHeight="1">
      <c r="A94" s="10">
        <v>29007.0</v>
      </c>
      <c r="B94" s="46"/>
      <c r="C94" s="46"/>
      <c r="D94" s="46"/>
      <c r="E94" s="46"/>
      <c r="F94" s="46">
        <v>12.0</v>
      </c>
      <c r="G94" s="46"/>
      <c r="H94" s="46"/>
    </row>
    <row r="95" ht="15.75" customHeight="1">
      <c r="A95" s="10">
        <v>29037.0</v>
      </c>
      <c r="B95" s="46"/>
      <c r="C95" s="46"/>
      <c r="D95" s="46"/>
      <c r="E95" s="46"/>
      <c r="F95" s="46">
        <v>14.0</v>
      </c>
      <c r="G95" s="46"/>
      <c r="H95" s="46"/>
    </row>
    <row r="96" ht="15.75" customHeight="1">
      <c r="A96" s="10">
        <v>29068.0</v>
      </c>
      <c r="B96" s="46"/>
      <c r="C96" s="46"/>
      <c r="D96" s="46"/>
      <c r="E96" s="46"/>
      <c r="F96" s="46">
        <v>14.0</v>
      </c>
      <c r="G96" s="46"/>
      <c r="H96" s="46"/>
    </row>
    <row r="97" ht="15.75" customHeight="1">
      <c r="A97" s="10">
        <v>29099.0</v>
      </c>
      <c r="B97" s="46"/>
      <c r="C97" s="46"/>
      <c r="D97" s="46"/>
      <c r="E97" s="46"/>
      <c r="F97" s="46">
        <v>14.0</v>
      </c>
      <c r="G97" s="46"/>
      <c r="H97" s="46"/>
    </row>
    <row r="98" ht="15.75" customHeight="1">
      <c r="A98" s="10">
        <v>29129.0</v>
      </c>
      <c r="B98" s="46"/>
      <c r="C98" s="46"/>
      <c r="D98" s="46"/>
      <c r="E98" s="46"/>
      <c r="F98" s="46">
        <v>14.0</v>
      </c>
      <c r="G98" s="46"/>
      <c r="H98" s="46"/>
    </row>
    <row r="99" ht="15.75" customHeight="1">
      <c r="A99" s="10">
        <v>29160.0</v>
      </c>
      <c r="B99" s="46"/>
      <c r="C99" s="46"/>
      <c r="D99" s="46"/>
      <c r="E99" s="46"/>
      <c r="F99" s="46">
        <v>14.0</v>
      </c>
      <c r="G99" s="46"/>
      <c r="H99" s="46"/>
    </row>
    <row r="100" ht="15.75" customHeight="1">
      <c r="A100" s="10">
        <v>29190.0</v>
      </c>
      <c r="B100" s="46"/>
      <c r="C100" s="46"/>
      <c r="D100" s="46"/>
      <c r="E100" s="46"/>
      <c r="F100" s="46">
        <v>17.0</v>
      </c>
      <c r="G100" s="46"/>
      <c r="H100" s="46"/>
    </row>
    <row r="101" ht="15.75" customHeight="1">
      <c r="A101" s="10">
        <v>29221.0</v>
      </c>
      <c r="B101" s="46"/>
      <c r="C101" s="46"/>
      <c r="D101" s="46"/>
      <c r="E101" s="46"/>
      <c r="F101" s="46">
        <v>17.0</v>
      </c>
      <c r="G101" s="46"/>
      <c r="H101" s="46"/>
    </row>
    <row r="102" ht="15.75" customHeight="1">
      <c r="A102" s="10">
        <v>29252.0</v>
      </c>
      <c r="B102" s="46"/>
      <c r="C102" s="46"/>
      <c r="D102" s="46"/>
      <c r="E102" s="46"/>
      <c r="F102" s="46">
        <v>17.0</v>
      </c>
      <c r="G102" s="46"/>
      <c r="H102" s="46"/>
    </row>
    <row r="103" ht="15.75" customHeight="1">
      <c r="A103" s="10">
        <v>29281.0</v>
      </c>
      <c r="B103" s="46"/>
      <c r="C103" s="46"/>
      <c r="D103" s="46"/>
      <c r="E103" s="46"/>
      <c r="F103" s="46">
        <v>17.0</v>
      </c>
      <c r="G103" s="46"/>
      <c r="H103" s="46"/>
    </row>
    <row r="104" ht="15.75" customHeight="1">
      <c r="A104" s="10">
        <v>29312.0</v>
      </c>
      <c r="B104" s="46"/>
      <c r="C104" s="46"/>
      <c r="D104" s="46"/>
      <c r="E104" s="46"/>
      <c r="F104" s="46">
        <v>17.0</v>
      </c>
      <c r="G104" s="46"/>
      <c r="H104" s="46"/>
    </row>
    <row r="105" ht="15.75" customHeight="1">
      <c r="A105" s="10">
        <v>29342.0</v>
      </c>
      <c r="B105" s="46"/>
      <c r="C105" s="46"/>
      <c r="D105" s="46"/>
      <c r="E105" s="46"/>
      <c r="F105" s="46">
        <v>17.0</v>
      </c>
      <c r="G105" s="46"/>
      <c r="H105" s="46"/>
    </row>
    <row r="106" ht="15.75" customHeight="1">
      <c r="A106" s="10">
        <v>29373.0</v>
      </c>
      <c r="B106" s="46"/>
      <c r="C106" s="46"/>
      <c r="D106" s="46"/>
      <c r="E106" s="46"/>
      <c r="F106" s="46">
        <v>17.0</v>
      </c>
      <c r="G106" s="46"/>
      <c r="H106" s="46"/>
    </row>
    <row r="107" ht="15.75" customHeight="1">
      <c r="A107" s="10">
        <v>29403.0</v>
      </c>
      <c r="B107" s="46"/>
      <c r="C107" s="46"/>
      <c r="D107" s="46"/>
      <c r="E107" s="46"/>
      <c r="F107" s="46">
        <v>17.0</v>
      </c>
      <c r="G107" s="46"/>
      <c r="H107" s="46"/>
    </row>
    <row r="108" ht="15.75" customHeight="1">
      <c r="A108" s="10">
        <v>29434.0</v>
      </c>
      <c r="B108" s="46"/>
      <c r="C108" s="46"/>
      <c r="D108" s="46"/>
      <c r="E108" s="46"/>
      <c r="F108" s="46">
        <v>16.0</v>
      </c>
      <c r="G108" s="46"/>
      <c r="H108" s="46"/>
    </row>
    <row r="109" ht="15.75" customHeight="1">
      <c r="A109" s="10">
        <v>29465.0</v>
      </c>
      <c r="B109" s="46"/>
      <c r="C109" s="46"/>
      <c r="D109" s="46"/>
      <c r="E109" s="46"/>
      <c r="F109" s="46">
        <v>16.0</v>
      </c>
      <c r="G109" s="46"/>
      <c r="H109" s="46"/>
    </row>
    <row r="110" ht="15.75" customHeight="1">
      <c r="A110" s="10">
        <v>29495.0</v>
      </c>
      <c r="B110" s="46"/>
      <c r="C110" s="46"/>
      <c r="D110" s="46"/>
      <c r="E110" s="46"/>
      <c r="F110" s="46">
        <v>16.0</v>
      </c>
      <c r="G110" s="46"/>
      <c r="H110" s="46"/>
    </row>
    <row r="111" ht="15.75" customHeight="1">
      <c r="A111" s="10">
        <v>29526.0</v>
      </c>
      <c r="B111" s="46"/>
      <c r="C111" s="46"/>
      <c r="D111" s="46"/>
      <c r="E111" s="46"/>
      <c r="F111" s="46">
        <v>16.0</v>
      </c>
      <c r="G111" s="46"/>
      <c r="H111" s="46"/>
    </row>
    <row r="112" ht="15.75" customHeight="1">
      <c r="A112" s="10">
        <v>29556.0</v>
      </c>
      <c r="B112" s="46"/>
      <c r="C112" s="46"/>
      <c r="D112" s="46"/>
      <c r="E112" s="46"/>
      <c r="F112" s="46">
        <v>14.0</v>
      </c>
      <c r="G112" s="46"/>
      <c r="H112" s="46"/>
    </row>
    <row r="113" ht="15.75" customHeight="1">
      <c r="A113" s="10">
        <v>29587.0</v>
      </c>
      <c r="B113" s="46"/>
      <c r="C113" s="46"/>
      <c r="D113" s="46"/>
      <c r="E113" s="46"/>
      <c r="F113" s="46">
        <v>14.0</v>
      </c>
      <c r="G113" s="46"/>
      <c r="H113" s="46"/>
    </row>
    <row r="114" ht="15.75" customHeight="1">
      <c r="A114" s="10">
        <v>29618.0</v>
      </c>
      <c r="B114" s="46"/>
      <c r="C114" s="46"/>
      <c r="D114" s="46"/>
      <c r="E114" s="46"/>
      <c r="F114" s="46">
        <v>14.0</v>
      </c>
      <c r="G114" s="46"/>
      <c r="H114" s="46"/>
    </row>
    <row r="115" ht="15.75" customHeight="1">
      <c r="A115" s="10">
        <v>29646.0</v>
      </c>
      <c r="B115" s="46"/>
      <c r="C115" s="46"/>
      <c r="D115" s="46"/>
      <c r="E115" s="46"/>
      <c r="F115" s="46">
        <v>14.0</v>
      </c>
      <c r="G115" s="46"/>
      <c r="H115" s="46"/>
    </row>
    <row r="116" ht="15.75" customHeight="1">
      <c r="A116" s="10">
        <v>29677.0</v>
      </c>
      <c r="B116" s="46"/>
      <c r="C116" s="46"/>
      <c r="D116" s="46"/>
      <c r="E116" s="46"/>
      <c r="F116" s="46">
        <v>12.0</v>
      </c>
      <c r="G116" s="46"/>
      <c r="H116" s="46"/>
    </row>
    <row r="117" ht="15.75" customHeight="1">
      <c r="A117" s="10">
        <v>29707.0</v>
      </c>
      <c r="B117" s="46"/>
      <c r="C117" s="46"/>
      <c r="D117" s="46"/>
      <c r="E117" s="46"/>
      <c r="F117" s="46">
        <v>12.0</v>
      </c>
      <c r="G117" s="46"/>
      <c r="H117" s="46"/>
    </row>
    <row r="118" ht="15.75" customHeight="1">
      <c r="A118" s="10">
        <v>29738.0</v>
      </c>
      <c r="B118" s="46"/>
      <c r="C118" s="46"/>
      <c r="D118" s="46"/>
      <c r="E118" s="46"/>
      <c r="F118" s="46">
        <v>12.0</v>
      </c>
      <c r="G118" s="46"/>
      <c r="H118" s="46"/>
    </row>
    <row r="119" ht="15.75" customHeight="1">
      <c r="A119" s="10">
        <v>29768.0</v>
      </c>
      <c r="B119" s="46"/>
      <c r="C119" s="46"/>
      <c r="D119" s="46"/>
      <c r="E119" s="46"/>
      <c r="F119" s="46">
        <v>12.0</v>
      </c>
      <c r="G119" s="46"/>
      <c r="H119" s="46"/>
    </row>
    <row r="120" ht="15.75" customHeight="1">
      <c r="A120" s="10">
        <v>29799.0</v>
      </c>
      <c r="B120" s="46"/>
      <c r="C120" s="46"/>
      <c r="D120" s="46"/>
      <c r="E120" s="46"/>
      <c r="F120" s="46">
        <v>12.0</v>
      </c>
      <c r="G120" s="46"/>
      <c r="H120" s="46"/>
    </row>
    <row r="121" ht="15.75" customHeight="1">
      <c r="A121" s="10">
        <v>29830.0</v>
      </c>
      <c r="B121" s="46"/>
      <c r="C121" s="46"/>
      <c r="D121" s="46"/>
      <c r="E121" s="46"/>
      <c r="F121" s="46">
        <v>12.0</v>
      </c>
      <c r="G121" s="46"/>
      <c r="H121" s="46"/>
    </row>
    <row r="122" ht="15.75" customHeight="1">
      <c r="A122" s="10">
        <v>29860.0</v>
      </c>
      <c r="B122" s="46"/>
      <c r="C122" s="46"/>
      <c r="D122" s="46"/>
      <c r="E122" s="46"/>
      <c r="F122" s="46">
        <v>14.0</v>
      </c>
      <c r="G122" s="46"/>
      <c r="H122" s="46"/>
    </row>
    <row r="123" ht="15.75" customHeight="1">
      <c r="A123" s="10">
        <v>29891.0</v>
      </c>
      <c r="B123" s="46"/>
      <c r="C123" s="46"/>
      <c r="D123" s="46"/>
      <c r="E123" s="46"/>
      <c r="F123" s="46">
        <v>15.0</v>
      </c>
      <c r="G123" s="46"/>
      <c r="H123" s="46"/>
    </row>
    <row r="124" ht="15.75" customHeight="1">
      <c r="A124" s="10">
        <v>29921.0</v>
      </c>
      <c r="B124" s="46"/>
      <c r="C124" s="46"/>
      <c r="D124" s="46"/>
      <c r="E124" s="46"/>
      <c r="F124" s="46"/>
      <c r="G124" s="46"/>
      <c r="H124" s="46"/>
    </row>
    <row r="125" ht="15.75" customHeight="1">
      <c r="A125" s="10">
        <v>29952.0</v>
      </c>
      <c r="B125" s="46"/>
      <c r="C125" s="46"/>
      <c r="D125" s="46">
        <v>-22.0</v>
      </c>
      <c r="E125" s="46"/>
      <c r="F125" s="46">
        <v>15.0</v>
      </c>
      <c r="G125" s="46"/>
      <c r="H125" s="46"/>
    </row>
    <row r="126" ht="15.75" customHeight="1">
      <c r="A126" s="10">
        <v>29983.0</v>
      </c>
      <c r="B126" s="46"/>
      <c r="C126" s="46"/>
      <c r="D126" s="46">
        <v>-26.0</v>
      </c>
      <c r="E126" s="46"/>
      <c r="F126" s="46">
        <v>14.5</v>
      </c>
      <c r="G126" s="46"/>
      <c r="H126" s="46"/>
    </row>
    <row r="127" ht="15.75" customHeight="1">
      <c r="A127" s="10">
        <v>30011.0</v>
      </c>
      <c r="B127" s="46"/>
      <c r="C127" s="46"/>
      <c r="D127" s="46">
        <v>-19.0</v>
      </c>
      <c r="E127" s="46"/>
      <c r="F127" s="46">
        <v>14.0</v>
      </c>
      <c r="G127" s="46"/>
      <c r="H127" s="46"/>
    </row>
    <row r="128" ht="15.75" customHeight="1">
      <c r="A128" s="10">
        <v>30042.0</v>
      </c>
      <c r="B128" s="46"/>
      <c r="C128" s="46"/>
      <c r="D128" s="46">
        <v>-22.0</v>
      </c>
      <c r="E128" s="46"/>
      <c r="F128" s="46">
        <v>13.5</v>
      </c>
      <c r="G128" s="46"/>
      <c r="H128" s="46"/>
    </row>
    <row r="129" ht="15.75" customHeight="1">
      <c r="A129" s="10">
        <v>30072.0</v>
      </c>
      <c r="B129" s="46"/>
      <c r="C129" s="46"/>
      <c r="D129" s="46">
        <v>-18.0</v>
      </c>
      <c r="E129" s="46"/>
      <c r="F129" s="46">
        <v>13.0</v>
      </c>
      <c r="G129" s="46"/>
      <c r="H129" s="46"/>
    </row>
    <row r="130" ht="15.75" customHeight="1">
      <c r="A130" s="10">
        <v>30103.0</v>
      </c>
      <c r="B130" s="46"/>
      <c r="C130" s="46"/>
      <c r="D130" s="46">
        <v>-14.0</v>
      </c>
      <c r="E130" s="46"/>
      <c r="F130" s="46">
        <v>13.0</v>
      </c>
      <c r="G130" s="46"/>
      <c r="H130" s="46"/>
    </row>
    <row r="131" ht="15.75" customHeight="1">
      <c r="A131" s="10">
        <v>30133.0</v>
      </c>
      <c r="B131" s="46"/>
      <c r="C131" s="46"/>
      <c r="D131" s="46">
        <v>-5.0</v>
      </c>
      <c r="E131" s="46"/>
      <c r="F131" s="46">
        <v>13.0</v>
      </c>
      <c r="G131" s="46"/>
      <c r="H131" s="46"/>
    </row>
    <row r="132" ht="15.75" customHeight="1">
      <c r="A132" s="10">
        <v>30164.0</v>
      </c>
      <c r="B132" s="46"/>
      <c r="C132" s="46"/>
      <c r="D132" s="46">
        <v>-3.0</v>
      </c>
      <c r="E132" s="46"/>
      <c r="F132" s="46">
        <v>12.5</v>
      </c>
      <c r="G132" s="46"/>
      <c r="H132" s="46"/>
    </row>
    <row r="133" ht="15.75" customHeight="1">
      <c r="A133" s="10">
        <v>30195.0</v>
      </c>
      <c r="B133" s="46"/>
      <c r="C133" s="46"/>
      <c r="D133" s="46">
        <v>-8.0</v>
      </c>
      <c r="E133" s="46"/>
      <c r="F133" s="46">
        <v>12.0</v>
      </c>
      <c r="G133" s="46"/>
      <c r="H133" s="46"/>
    </row>
    <row r="134" ht="15.75" customHeight="1">
      <c r="A134" s="10">
        <v>30225.0</v>
      </c>
      <c r="B134" s="46"/>
      <c r="C134" s="46"/>
      <c r="D134" s="46">
        <v>-7.0</v>
      </c>
      <c r="E134" s="46"/>
      <c r="F134" s="46">
        <v>10.5</v>
      </c>
      <c r="G134" s="46"/>
      <c r="H134" s="46"/>
    </row>
    <row r="135" ht="15.75" customHeight="1">
      <c r="A135" s="10">
        <v>30256.0</v>
      </c>
      <c r="B135" s="46"/>
      <c r="C135" s="46"/>
      <c r="D135" s="46">
        <v>-9.0</v>
      </c>
      <c r="E135" s="46"/>
      <c r="F135" s="46">
        <v>10.5</v>
      </c>
      <c r="G135" s="46"/>
      <c r="H135" s="46"/>
    </row>
    <row r="136" ht="15.75" customHeight="1">
      <c r="A136" s="10">
        <v>30286.0</v>
      </c>
      <c r="B136" s="46"/>
      <c r="C136" s="46"/>
      <c r="D136" s="46">
        <v>-7.0</v>
      </c>
      <c r="E136" s="46"/>
      <c r="F136" s="46">
        <v>9.5</v>
      </c>
      <c r="G136" s="46"/>
      <c r="H136" s="46"/>
    </row>
    <row r="137" ht="15.75" customHeight="1">
      <c r="A137" s="10">
        <v>30317.0</v>
      </c>
      <c r="B137" s="46"/>
      <c r="C137" s="46"/>
      <c r="D137" s="46">
        <v>-4.0</v>
      </c>
      <c r="E137" s="46"/>
      <c r="F137" s="46">
        <v>10.25</v>
      </c>
      <c r="G137" s="46"/>
      <c r="H137" s="46"/>
    </row>
    <row r="138" ht="15.75" customHeight="1">
      <c r="A138" s="10">
        <v>30348.0</v>
      </c>
      <c r="B138" s="46"/>
      <c r="C138" s="46"/>
      <c r="D138" s="46">
        <v>-10.0</v>
      </c>
      <c r="E138" s="46"/>
      <c r="F138" s="46">
        <v>10.25</v>
      </c>
      <c r="G138" s="46"/>
      <c r="H138" s="46"/>
    </row>
    <row r="139" ht="15.75" customHeight="1">
      <c r="A139" s="10">
        <v>30376.0</v>
      </c>
      <c r="B139" s="46"/>
      <c r="C139" s="46"/>
      <c r="D139" s="46">
        <v>-5.0</v>
      </c>
      <c r="E139" s="46"/>
      <c r="F139" s="46">
        <v>11.0</v>
      </c>
      <c r="G139" s="46"/>
      <c r="H139" s="46"/>
    </row>
    <row r="140" ht="15.75" customHeight="1">
      <c r="A140" s="10">
        <v>30407.0</v>
      </c>
      <c r="B140" s="46"/>
      <c r="C140" s="46"/>
      <c r="D140" s="46">
        <v>-9.0</v>
      </c>
      <c r="E140" s="46"/>
      <c r="F140" s="46">
        <v>11.0</v>
      </c>
      <c r="G140" s="46"/>
      <c r="H140" s="46"/>
    </row>
    <row r="141" ht="15.75" customHeight="1">
      <c r="A141" s="10">
        <v>30437.0</v>
      </c>
      <c r="B141" s="46"/>
      <c r="C141" s="46"/>
      <c r="D141" s="46">
        <v>-4.0</v>
      </c>
      <c r="E141" s="46"/>
      <c r="F141" s="46">
        <v>10.5</v>
      </c>
      <c r="G141" s="46"/>
      <c r="H141" s="46"/>
    </row>
    <row r="142" ht="15.75" customHeight="1">
      <c r="A142" s="10">
        <v>30468.0</v>
      </c>
      <c r="B142" s="46"/>
      <c r="C142" s="46"/>
      <c r="D142" s="46">
        <v>-2.0</v>
      </c>
      <c r="E142" s="46"/>
      <c r="F142" s="46">
        <v>10.0</v>
      </c>
      <c r="G142" s="46"/>
      <c r="H142" s="46"/>
    </row>
    <row r="143" ht="15.75" customHeight="1">
      <c r="A143" s="10">
        <v>30498.0</v>
      </c>
      <c r="B143" s="46"/>
      <c r="C143" s="46"/>
      <c r="D143" s="46">
        <v>3.0</v>
      </c>
      <c r="E143" s="46"/>
      <c r="F143" s="46">
        <v>10.0</v>
      </c>
      <c r="G143" s="46"/>
      <c r="H143" s="46"/>
    </row>
    <row r="144" ht="15.75" customHeight="1">
      <c r="A144" s="10">
        <v>30529.0</v>
      </c>
      <c r="B144" s="46"/>
      <c r="C144" s="46"/>
      <c r="D144" s="46">
        <v>2.0</v>
      </c>
      <c r="E144" s="46"/>
      <c r="F144" s="46">
        <v>9.5</v>
      </c>
      <c r="G144" s="46"/>
      <c r="H144" s="46"/>
    </row>
    <row r="145" ht="15.75" customHeight="1">
      <c r="A145" s="10">
        <v>30560.0</v>
      </c>
      <c r="B145" s="46"/>
      <c r="C145" s="46"/>
      <c r="D145" s="46">
        <v>-1.0</v>
      </c>
      <c r="E145" s="46"/>
      <c r="F145" s="46">
        <v>9.5</v>
      </c>
      <c r="G145" s="46"/>
      <c r="H145" s="46"/>
    </row>
    <row r="146" ht="15.75" customHeight="1">
      <c r="A146" s="10">
        <v>30590.0</v>
      </c>
      <c r="B146" s="46"/>
      <c r="C146" s="46"/>
      <c r="D146" s="46">
        <v>1.0</v>
      </c>
      <c r="E146" s="46"/>
      <c r="F146" s="46">
        <v>9.5</v>
      </c>
      <c r="G146" s="46"/>
      <c r="H146" s="46"/>
    </row>
    <row r="147" ht="15.75" customHeight="1">
      <c r="A147" s="10">
        <v>30621.0</v>
      </c>
      <c r="B147" s="46"/>
      <c r="C147" s="46"/>
      <c r="D147" s="46">
        <v>-1.0</v>
      </c>
      <c r="E147" s="46"/>
      <c r="F147" s="46">
        <v>9.5</v>
      </c>
      <c r="G147" s="46"/>
      <c r="H147" s="46"/>
    </row>
    <row r="148" ht="15.75" customHeight="1">
      <c r="A148" s="10">
        <v>30651.0</v>
      </c>
      <c r="B148" s="46"/>
      <c r="C148" s="46"/>
      <c r="D148" s="46">
        <v>-2.0</v>
      </c>
      <c r="E148" s="46"/>
      <c r="F148" s="46">
        <v>9.0</v>
      </c>
      <c r="G148" s="46"/>
      <c r="H148" s="46"/>
    </row>
    <row r="149" ht="15.75" customHeight="1">
      <c r="A149" s="10">
        <v>30682.0</v>
      </c>
      <c r="B149" s="46"/>
      <c r="C149" s="46"/>
      <c r="D149" s="46">
        <v>-3.0</v>
      </c>
      <c r="E149" s="46"/>
      <c r="F149" s="46">
        <v>9.0</v>
      </c>
      <c r="G149" s="46"/>
      <c r="H149" s="46"/>
    </row>
    <row r="150" ht="15.75" customHeight="1">
      <c r="A150" s="10">
        <v>30713.0</v>
      </c>
      <c r="B150" s="46"/>
      <c r="C150" s="46"/>
      <c r="D150" s="46">
        <v>-2.0</v>
      </c>
      <c r="E150" s="46"/>
      <c r="F150" s="46">
        <v>9.0</v>
      </c>
      <c r="G150" s="46"/>
      <c r="H150" s="46"/>
    </row>
    <row r="151" ht="15.75" customHeight="1">
      <c r="A151" s="10">
        <v>30742.0</v>
      </c>
      <c r="B151" s="46"/>
      <c r="C151" s="46"/>
      <c r="D151" s="46">
        <v>2.0</v>
      </c>
      <c r="E151" s="46"/>
      <c r="F151" s="46">
        <v>9.0</v>
      </c>
      <c r="G151" s="46"/>
      <c r="H151" s="46"/>
    </row>
    <row r="152" ht="15.75" customHeight="1">
      <c r="A152" s="10">
        <v>30773.0</v>
      </c>
      <c r="B152" s="46"/>
      <c r="C152" s="46"/>
      <c r="D152" s="46">
        <v>-1.0</v>
      </c>
      <c r="E152" s="46"/>
      <c r="F152" s="46">
        <v>9.0</v>
      </c>
      <c r="G152" s="46"/>
      <c r="H152" s="46"/>
    </row>
    <row r="153" ht="15.75" customHeight="1">
      <c r="A153" s="10">
        <v>30803.0</v>
      </c>
      <c r="B153" s="46"/>
      <c r="C153" s="46"/>
      <c r="D153" s="46">
        <v>-4.0</v>
      </c>
      <c r="E153" s="46"/>
      <c r="F153" s="46">
        <v>8.75</v>
      </c>
      <c r="G153" s="46"/>
      <c r="H153" s="46"/>
    </row>
    <row r="154" ht="15.75" customHeight="1">
      <c r="A154" s="10">
        <v>30834.0</v>
      </c>
      <c r="B154" s="46"/>
      <c r="C154" s="46"/>
      <c r="D154" s="46">
        <v>-2.0</v>
      </c>
      <c r="E154" s="46"/>
      <c r="F154" s="46">
        <v>8.75</v>
      </c>
      <c r="G154" s="46"/>
      <c r="H154" s="46"/>
    </row>
    <row r="155" ht="15.75" customHeight="1">
      <c r="A155" s="10">
        <v>30864.0</v>
      </c>
      <c r="B155" s="46"/>
      <c r="C155" s="46"/>
      <c r="D155" s="46">
        <v>-1.0</v>
      </c>
      <c r="E155" s="46"/>
      <c r="F155" s="46">
        <v>9.25</v>
      </c>
      <c r="G155" s="46"/>
      <c r="H155" s="46"/>
    </row>
    <row r="156" ht="15.75" customHeight="1">
      <c r="A156" s="10">
        <v>30895.0</v>
      </c>
      <c r="B156" s="46"/>
      <c r="C156" s="46"/>
      <c r="D156" s="46">
        <v>-4.0</v>
      </c>
      <c r="E156" s="46"/>
      <c r="F156" s="46">
        <v>9.25</v>
      </c>
      <c r="G156" s="46"/>
      <c r="H156" s="46"/>
    </row>
    <row r="157" ht="15.75" customHeight="1">
      <c r="A157" s="10">
        <v>30926.0</v>
      </c>
      <c r="B157" s="46"/>
      <c r="C157" s="46"/>
      <c r="D157" s="46">
        <v>-10.0</v>
      </c>
      <c r="E157" s="46"/>
      <c r="F157" s="46">
        <v>12.0</v>
      </c>
      <c r="G157" s="46"/>
      <c r="H157" s="46"/>
    </row>
    <row r="158" ht="15.75" customHeight="1">
      <c r="A158" s="10">
        <v>30956.0</v>
      </c>
      <c r="B158" s="46"/>
      <c r="C158" s="46"/>
      <c r="D158" s="46">
        <v>-10.0</v>
      </c>
      <c r="E158" s="46"/>
      <c r="F158" s="46">
        <v>10.5</v>
      </c>
      <c r="G158" s="46"/>
      <c r="H158" s="46"/>
    </row>
    <row r="159" ht="15.75" customHeight="1">
      <c r="A159" s="10">
        <v>30987.0</v>
      </c>
      <c r="B159" s="46"/>
      <c r="C159" s="46"/>
      <c r="D159" s="46">
        <v>-8.0</v>
      </c>
      <c r="E159" s="46"/>
      <c r="F159" s="46">
        <v>10.5</v>
      </c>
      <c r="G159" s="46"/>
      <c r="H159" s="46"/>
    </row>
    <row r="160" ht="15.75" customHeight="1">
      <c r="A160" s="10">
        <v>31017.0</v>
      </c>
      <c r="B160" s="46"/>
      <c r="C160" s="46"/>
      <c r="D160" s="46">
        <v>-9.0</v>
      </c>
      <c r="E160" s="46"/>
      <c r="F160" s="46">
        <v>10.5</v>
      </c>
      <c r="G160" s="46"/>
      <c r="H160" s="46"/>
    </row>
    <row r="161" ht="15.75" customHeight="1">
      <c r="A161" s="10">
        <v>31048.0</v>
      </c>
      <c r="B161" s="46"/>
      <c r="C161" s="46"/>
      <c r="D161" s="46">
        <v>-6.0</v>
      </c>
      <c r="E161" s="46"/>
      <c r="F161" s="46">
        <v>9.75</v>
      </c>
      <c r="G161" s="46"/>
      <c r="H161" s="46"/>
    </row>
    <row r="162" ht="15.75" customHeight="1">
      <c r="A162" s="10">
        <v>31079.0</v>
      </c>
      <c r="B162" s="46"/>
      <c r="C162" s="46"/>
      <c r="D162" s="46">
        <v>-7.0</v>
      </c>
      <c r="E162" s="46"/>
      <c r="F162" s="46">
        <v>9.75</v>
      </c>
      <c r="G162" s="46"/>
      <c r="H162" s="46"/>
    </row>
    <row r="163" ht="15.75" customHeight="1">
      <c r="A163" s="10">
        <v>31107.0</v>
      </c>
      <c r="B163" s="46"/>
      <c r="C163" s="46"/>
      <c r="D163" s="46">
        <v>-6.0</v>
      </c>
      <c r="E163" s="46"/>
      <c r="F163" s="46">
        <v>14.0</v>
      </c>
      <c r="G163" s="46"/>
      <c r="H163" s="46"/>
    </row>
    <row r="164" ht="15.75" customHeight="1">
      <c r="A164" s="10">
        <v>31138.0</v>
      </c>
      <c r="B164" s="46"/>
      <c r="C164" s="46"/>
      <c r="D164" s="46">
        <v>-18.0</v>
      </c>
      <c r="E164" s="46"/>
      <c r="F164" s="46">
        <v>14.0</v>
      </c>
      <c r="G164" s="46"/>
      <c r="H164" s="46"/>
    </row>
    <row r="165" ht="15.75" customHeight="1">
      <c r="A165" s="10">
        <v>31168.0</v>
      </c>
      <c r="B165" s="46"/>
      <c r="C165" s="46"/>
      <c r="D165" s="46">
        <v>-13.0</v>
      </c>
      <c r="E165" s="46"/>
      <c r="F165" s="46">
        <v>13.5</v>
      </c>
      <c r="G165" s="46"/>
      <c r="H165" s="46"/>
    </row>
    <row r="166" ht="15.75" customHeight="1">
      <c r="A166" s="10">
        <v>31199.0</v>
      </c>
      <c r="B166" s="46"/>
      <c r="C166" s="46"/>
      <c r="D166" s="46">
        <v>-11.0</v>
      </c>
      <c r="E166" s="46"/>
      <c r="F166" s="46">
        <v>12.75</v>
      </c>
      <c r="G166" s="46"/>
      <c r="H166" s="46"/>
    </row>
    <row r="167" ht="15.75" customHeight="1">
      <c r="A167" s="10">
        <v>31229.0</v>
      </c>
      <c r="B167" s="46"/>
      <c r="C167" s="46"/>
      <c r="D167" s="46">
        <v>-10.0</v>
      </c>
      <c r="E167" s="46"/>
      <c r="F167" s="46">
        <v>12.75</v>
      </c>
      <c r="G167" s="46"/>
      <c r="H167" s="46"/>
    </row>
    <row r="168" ht="15.75" customHeight="1">
      <c r="A168" s="10">
        <v>31260.0</v>
      </c>
      <c r="B168" s="46"/>
      <c r="C168" s="46"/>
      <c r="D168" s="46">
        <v>-11.0</v>
      </c>
      <c r="E168" s="46"/>
      <c r="F168" s="46">
        <v>12.0</v>
      </c>
      <c r="G168" s="46"/>
      <c r="H168" s="46"/>
    </row>
    <row r="169" ht="15.75" customHeight="1">
      <c r="A169" s="10">
        <v>31291.0</v>
      </c>
      <c r="B169" s="46"/>
      <c r="C169" s="46"/>
      <c r="D169" s="46">
        <v>-10.0</v>
      </c>
      <c r="E169" s="46"/>
      <c r="F169" s="46">
        <v>11.5</v>
      </c>
      <c r="G169" s="46"/>
      <c r="H169" s="46">
        <v>120.8</v>
      </c>
    </row>
    <row r="170" ht="15.75" customHeight="1">
      <c r="A170" s="10">
        <v>31321.0</v>
      </c>
      <c r="B170" s="46"/>
      <c r="C170" s="46"/>
      <c r="D170" s="46">
        <v>-12.0</v>
      </c>
      <c r="E170" s="46"/>
      <c r="F170" s="46">
        <v>11.5</v>
      </c>
      <c r="G170" s="46"/>
      <c r="H170" s="46">
        <v>115.8</v>
      </c>
    </row>
    <row r="171" ht="15.75" customHeight="1">
      <c r="A171" s="10">
        <v>31352.0</v>
      </c>
      <c r="B171" s="46"/>
      <c r="C171" s="46"/>
      <c r="D171" s="46">
        <v>-9.0</v>
      </c>
      <c r="E171" s="46"/>
      <c r="F171" s="46">
        <v>11.5</v>
      </c>
      <c r="G171" s="46"/>
      <c r="H171" s="46">
        <v>120.8</v>
      </c>
    </row>
    <row r="172" ht="15.75" customHeight="1">
      <c r="A172" s="10">
        <v>31382.0</v>
      </c>
      <c r="B172" s="46"/>
      <c r="C172" s="46"/>
      <c r="D172" s="46">
        <v>-7.0</v>
      </c>
      <c r="E172" s="46"/>
      <c r="F172" s="46">
        <v>11.5</v>
      </c>
      <c r="G172" s="46"/>
      <c r="H172" s="46">
        <v>118.4</v>
      </c>
    </row>
    <row r="173" ht="15.75" customHeight="1">
      <c r="A173" s="10">
        <v>31413.0</v>
      </c>
      <c r="B173" s="46"/>
      <c r="C173" s="46"/>
      <c r="D173" s="46">
        <v>-7.0</v>
      </c>
      <c r="E173" s="46"/>
      <c r="F173" s="46">
        <v>11.5</v>
      </c>
      <c r="G173" s="46"/>
      <c r="H173" s="46">
        <v>111.4</v>
      </c>
    </row>
    <row r="174" ht="15.75" customHeight="1">
      <c r="A174" s="10">
        <v>31444.0</v>
      </c>
      <c r="B174" s="46"/>
      <c r="C174" s="46"/>
      <c r="D174" s="46">
        <v>-7.0</v>
      </c>
      <c r="E174" s="46"/>
      <c r="F174" s="46">
        <v>11.5</v>
      </c>
      <c r="G174" s="46"/>
      <c r="H174" s="46">
        <v>115.4</v>
      </c>
    </row>
    <row r="175" ht="15.75" customHeight="1">
      <c r="A175" s="10">
        <v>31472.0</v>
      </c>
      <c r="B175" s="46"/>
      <c r="C175" s="46"/>
      <c r="D175" s="46">
        <v>-11.0</v>
      </c>
      <c r="E175" s="46"/>
      <c r="F175" s="46">
        <v>12.5</v>
      </c>
      <c r="G175" s="46"/>
      <c r="H175" s="46">
        <v>116.2</v>
      </c>
    </row>
    <row r="176" ht="15.75" customHeight="1">
      <c r="A176" s="10">
        <v>31503.0</v>
      </c>
      <c r="B176" s="46"/>
      <c r="C176" s="46"/>
      <c r="D176" s="46">
        <v>-14.0</v>
      </c>
      <c r="E176" s="46"/>
      <c r="F176" s="46">
        <v>12.5</v>
      </c>
      <c r="G176" s="46"/>
      <c r="H176" s="46">
        <v>111.2</v>
      </c>
    </row>
    <row r="177" ht="15.75" customHeight="1">
      <c r="A177" s="10">
        <v>31533.0</v>
      </c>
      <c r="B177" s="46"/>
      <c r="C177" s="46"/>
      <c r="D177" s="46">
        <v>-11.0</v>
      </c>
      <c r="E177" s="46"/>
      <c r="F177" s="46">
        <v>11.5</v>
      </c>
      <c r="G177" s="46"/>
      <c r="H177" s="46">
        <v>115.2</v>
      </c>
    </row>
    <row r="178" ht="15.75" customHeight="1">
      <c r="A178" s="10">
        <v>31564.0</v>
      </c>
      <c r="B178" s="46"/>
      <c r="C178" s="46"/>
      <c r="D178" s="46">
        <v>-8.0</v>
      </c>
      <c r="E178" s="46"/>
      <c r="F178" s="46">
        <v>10.5</v>
      </c>
      <c r="G178" s="46"/>
      <c r="H178" s="46">
        <v>118.3</v>
      </c>
    </row>
    <row r="179" ht="15.75" customHeight="1">
      <c r="A179" s="10">
        <v>31594.0</v>
      </c>
      <c r="B179" s="46"/>
      <c r="C179" s="46"/>
      <c r="D179" s="46">
        <v>-8.0</v>
      </c>
      <c r="E179" s="46"/>
      <c r="F179" s="46">
        <v>10.0</v>
      </c>
      <c r="G179" s="46"/>
      <c r="H179" s="46">
        <v>122.3</v>
      </c>
    </row>
    <row r="180" ht="15.75" customHeight="1">
      <c r="A180" s="10">
        <v>31625.0</v>
      </c>
      <c r="B180" s="46"/>
      <c r="C180" s="46"/>
      <c r="D180" s="46">
        <v>-6.0</v>
      </c>
      <c r="E180" s="46"/>
      <c r="F180" s="46">
        <v>10.0</v>
      </c>
      <c r="G180" s="46"/>
      <c r="H180" s="46">
        <v>127.3</v>
      </c>
    </row>
    <row r="181" ht="15.75" customHeight="1">
      <c r="A181" s="10">
        <v>31656.0</v>
      </c>
      <c r="B181" s="46"/>
      <c r="C181" s="46"/>
      <c r="D181" s="46">
        <v>-3.0</v>
      </c>
      <c r="E181" s="46"/>
      <c r="F181" s="46">
        <v>10.0</v>
      </c>
      <c r="G181" s="46"/>
      <c r="H181" s="46">
        <v>128.9</v>
      </c>
    </row>
    <row r="182" ht="15.75" customHeight="1">
      <c r="A182" s="10">
        <v>31686.0</v>
      </c>
      <c r="B182" s="46"/>
      <c r="C182" s="46"/>
      <c r="D182" s="46">
        <v>-5.0</v>
      </c>
      <c r="E182" s="46"/>
      <c r="F182" s="46">
        <v>10.0</v>
      </c>
      <c r="G182" s="46"/>
      <c r="H182" s="46">
        <v>127.9</v>
      </c>
    </row>
    <row r="183" ht="15.75" customHeight="1">
      <c r="A183" s="10">
        <v>31717.0</v>
      </c>
      <c r="B183" s="46"/>
      <c r="C183" s="46"/>
      <c r="D183" s="46">
        <v>-6.0</v>
      </c>
      <c r="E183" s="46">
        <v>256333.0</v>
      </c>
      <c r="F183" s="46">
        <v>10.0</v>
      </c>
      <c r="G183" s="46"/>
      <c r="H183" s="46">
        <v>129.9</v>
      </c>
    </row>
    <row r="184" ht="15.75" customHeight="1">
      <c r="A184" s="10">
        <v>31747.0</v>
      </c>
      <c r="B184" s="46"/>
      <c r="C184" s="46"/>
      <c r="D184" s="46">
        <v>-3.0</v>
      </c>
      <c r="E184" s="46">
        <v>259239.0</v>
      </c>
      <c r="F184" s="46">
        <v>11.0</v>
      </c>
      <c r="G184" s="46"/>
      <c r="H184" s="46">
        <v>132.5</v>
      </c>
    </row>
    <row r="185" ht="15.75" customHeight="1">
      <c r="A185" s="10">
        <v>31778.0</v>
      </c>
      <c r="B185" s="46"/>
      <c r="C185" s="46"/>
      <c r="D185" s="46">
        <v>-3.0</v>
      </c>
      <c r="E185" s="46">
        <v>263607.0</v>
      </c>
      <c r="F185" s="46">
        <v>11.0</v>
      </c>
      <c r="G185" s="46"/>
      <c r="H185" s="46">
        <v>143.5</v>
      </c>
    </row>
    <row r="186" ht="15.75" customHeight="1">
      <c r="A186" s="10">
        <v>31809.0</v>
      </c>
      <c r="B186" s="46"/>
      <c r="C186" s="46"/>
      <c r="D186" s="46">
        <v>-6.0</v>
      </c>
      <c r="E186" s="46">
        <v>267731.0</v>
      </c>
      <c r="F186" s="46">
        <v>11.0</v>
      </c>
      <c r="G186" s="46"/>
      <c r="H186" s="46">
        <v>151.5</v>
      </c>
    </row>
    <row r="187" ht="15.75" customHeight="1">
      <c r="A187" s="10">
        <v>31837.0</v>
      </c>
      <c r="B187" s="46"/>
      <c r="C187" s="46"/>
      <c r="D187" s="46">
        <v>-4.0</v>
      </c>
      <c r="E187" s="46">
        <v>270770.0</v>
      </c>
      <c r="F187" s="46">
        <v>11.0</v>
      </c>
      <c r="G187" s="46"/>
      <c r="H187" s="46">
        <v>142.8</v>
      </c>
    </row>
    <row r="188" ht="15.75" customHeight="1">
      <c r="A188" s="10">
        <v>31868.0</v>
      </c>
      <c r="B188" s="46"/>
      <c r="C188" s="46"/>
      <c r="D188" s="46">
        <v>0.1</v>
      </c>
      <c r="E188" s="46">
        <v>272754.0</v>
      </c>
      <c r="F188" s="46">
        <v>11.0</v>
      </c>
      <c r="G188" s="46"/>
      <c r="H188" s="46">
        <v>151.8</v>
      </c>
    </row>
    <row r="189" ht="15.75" customHeight="1">
      <c r="A189" s="10">
        <v>31898.0</v>
      </c>
      <c r="B189" s="46"/>
      <c r="C189" s="46"/>
      <c r="D189" s="46">
        <v>0.1</v>
      </c>
      <c r="E189" s="46">
        <v>277457.0</v>
      </c>
      <c r="F189" s="46">
        <v>10.0</v>
      </c>
      <c r="G189" s="46"/>
      <c r="H189" s="46">
        <v>150.8</v>
      </c>
    </row>
    <row r="190" ht="15.75" customHeight="1">
      <c r="A190" s="10">
        <v>31929.0</v>
      </c>
      <c r="B190" s="46"/>
      <c r="C190" s="46"/>
      <c r="D190" s="46">
        <v>4.0</v>
      </c>
      <c r="E190" s="46">
        <v>280198.0</v>
      </c>
      <c r="F190" s="46">
        <v>9.5</v>
      </c>
      <c r="G190" s="46"/>
      <c r="H190" s="46">
        <v>143.2</v>
      </c>
    </row>
    <row r="191" ht="15.75" customHeight="1">
      <c r="A191" s="10">
        <v>31959.0</v>
      </c>
      <c r="B191" s="46"/>
      <c r="C191" s="46"/>
      <c r="D191" s="46">
        <v>6.0</v>
      </c>
      <c r="E191" s="46">
        <v>281326.0</v>
      </c>
      <c r="F191" s="46">
        <v>9.0</v>
      </c>
      <c r="G191" s="46"/>
      <c r="H191" s="46">
        <v>127.2</v>
      </c>
    </row>
    <row r="192" ht="15.75" customHeight="1">
      <c r="A192" s="10">
        <v>31990.0</v>
      </c>
      <c r="B192" s="46"/>
      <c r="C192" s="46"/>
      <c r="D192" s="46">
        <v>10.0</v>
      </c>
      <c r="E192" s="46">
        <v>286517.0</v>
      </c>
      <c r="F192" s="46">
        <v>9.0</v>
      </c>
      <c r="G192" s="46"/>
      <c r="H192" s="46">
        <v>120.2</v>
      </c>
    </row>
    <row r="193" ht="15.75" customHeight="1">
      <c r="A193" s="10">
        <v>32021.0</v>
      </c>
      <c r="B193" s="46"/>
      <c r="C193" s="46"/>
      <c r="D193" s="46">
        <v>9.0</v>
      </c>
      <c r="E193" s="46">
        <v>289271.0</v>
      </c>
      <c r="F193" s="46">
        <v>9.0</v>
      </c>
      <c r="G193" s="46"/>
      <c r="H193" s="46">
        <v>114.1</v>
      </c>
    </row>
    <row r="194" ht="15.75" customHeight="1">
      <c r="A194" s="10">
        <v>32051.0</v>
      </c>
      <c r="B194" s="46"/>
      <c r="C194" s="46"/>
      <c r="D194" s="46">
        <v>8.0</v>
      </c>
      <c r="E194" s="46">
        <v>291685.0</v>
      </c>
      <c r="F194" s="46">
        <v>10.0</v>
      </c>
      <c r="G194" s="46"/>
      <c r="H194" s="46">
        <v>112.1</v>
      </c>
    </row>
    <row r="195" ht="15.75" customHeight="1">
      <c r="A195" s="10">
        <v>32082.0</v>
      </c>
      <c r="B195" s="46"/>
      <c r="C195" s="46"/>
      <c r="D195" s="46">
        <v>5.0</v>
      </c>
      <c r="E195" s="46">
        <v>295242.0</v>
      </c>
      <c r="F195" s="46">
        <v>10.0</v>
      </c>
      <c r="G195" s="46"/>
      <c r="H195" s="46">
        <v>106.1</v>
      </c>
    </row>
    <row r="196" ht="15.75" customHeight="1">
      <c r="A196" s="10">
        <v>32112.0</v>
      </c>
      <c r="B196" s="46"/>
      <c r="C196" s="46"/>
      <c r="D196" s="46">
        <v>8.0</v>
      </c>
      <c r="E196" s="46">
        <v>297509.0</v>
      </c>
      <c r="F196" s="46">
        <v>9.5</v>
      </c>
      <c r="G196" s="46"/>
      <c r="H196" s="46">
        <v>96.7</v>
      </c>
    </row>
    <row r="197" ht="15.75" customHeight="1">
      <c r="A197" s="10">
        <v>32143.0</v>
      </c>
      <c r="B197" s="46"/>
      <c r="C197" s="46"/>
      <c r="D197" s="46">
        <v>5.0</v>
      </c>
      <c r="E197" s="46">
        <v>302615.0</v>
      </c>
      <c r="F197" s="46">
        <v>9.0</v>
      </c>
      <c r="G197" s="46"/>
      <c r="H197" s="46">
        <v>96.7</v>
      </c>
    </row>
    <row r="198" ht="15.75" customHeight="1">
      <c r="A198" s="10">
        <v>32174.0</v>
      </c>
      <c r="B198" s="46"/>
      <c r="C198" s="46"/>
      <c r="D198" s="46">
        <v>3.0</v>
      </c>
      <c r="E198" s="46">
        <v>304829.0</v>
      </c>
      <c r="F198" s="46">
        <v>8.5</v>
      </c>
      <c r="G198" s="46"/>
      <c r="H198" s="46">
        <v>95.7</v>
      </c>
    </row>
    <row r="199" ht="15.75" customHeight="1">
      <c r="A199" s="10">
        <v>32203.0</v>
      </c>
      <c r="B199" s="46"/>
      <c r="C199" s="46"/>
      <c r="D199" s="46">
        <v>7.0</v>
      </c>
      <c r="E199" s="46">
        <v>307435.0</v>
      </c>
      <c r="F199" s="46">
        <v>8.5</v>
      </c>
      <c r="G199" s="46"/>
      <c r="H199" s="46">
        <v>99.4</v>
      </c>
    </row>
    <row r="200" ht="15.75" customHeight="1">
      <c r="A200" s="10">
        <v>32234.0</v>
      </c>
      <c r="B200" s="46"/>
      <c r="C200" s="46"/>
      <c r="D200" s="46">
        <v>3.0</v>
      </c>
      <c r="E200" s="46">
        <v>313741.0</v>
      </c>
      <c r="F200" s="46">
        <v>9.0</v>
      </c>
      <c r="G200" s="46"/>
      <c r="H200" s="46">
        <v>92.4</v>
      </c>
    </row>
    <row r="201" ht="15.75" customHeight="1">
      <c r="A201" s="10">
        <v>32264.0</v>
      </c>
      <c r="B201" s="46"/>
      <c r="C201" s="46"/>
      <c r="D201" s="46">
        <v>5.0</v>
      </c>
      <c r="E201" s="46">
        <v>319239.0</v>
      </c>
      <c r="F201" s="46">
        <v>8.5</v>
      </c>
      <c r="G201" s="46"/>
      <c r="H201" s="46">
        <v>91.4</v>
      </c>
    </row>
    <row r="202" ht="15.75" customHeight="1">
      <c r="A202" s="10">
        <v>32295.0</v>
      </c>
      <c r="B202" s="46"/>
      <c r="C202" s="46"/>
      <c r="D202" s="46">
        <v>5.0</v>
      </c>
      <c r="E202" s="46">
        <v>323164.0</v>
      </c>
      <c r="F202" s="46">
        <v>8.0</v>
      </c>
      <c r="G202" s="46"/>
      <c r="H202" s="46">
        <v>88.6</v>
      </c>
    </row>
    <row r="203" ht="15.75" customHeight="1">
      <c r="A203" s="10">
        <v>32325.0</v>
      </c>
      <c r="B203" s="46"/>
      <c r="C203" s="46"/>
      <c r="D203" s="46">
        <v>8.0</v>
      </c>
      <c r="E203" s="46">
        <v>327841.0</v>
      </c>
      <c r="F203" s="46">
        <v>7.5</v>
      </c>
      <c r="G203" s="46"/>
      <c r="H203" s="46">
        <v>102.6</v>
      </c>
    </row>
    <row r="204" ht="15.75" customHeight="1">
      <c r="A204" s="10">
        <v>32356.0</v>
      </c>
      <c r="B204" s="46"/>
      <c r="C204" s="46"/>
      <c r="D204" s="46">
        <v>9.0</v>
      </c>
      <c r="E204" s="46">
        <v>331394.0</v>
      </c>
      <c r="F204" s="46">
        <v>9.5</v>
      </c>
      <c r="G204" s="46"/>
      <c r="H204" s="46">
        <v>103.6</v>
      </c>
    </row>
    <row r="205" ht="15.75" customHeight="1">
      <c r="A205" s="10">
        <v>32387.0</v>
      </c>
      <c r="B205" s="46"/>
      <c r="C205" s="46"/>
      <c r="D205" s="46">
        <v>7.0</v>
      </c>
      <c r="E205" s="46">
        <v>333449.0</v>
      </c>
      <c r="F205" s="46">
        <v>10.5</v>
      </c>
      <c r="G205" s="46"/>
      <c r="H205" s="46">
        <v>101.1</v>
      </c>
    </row>
    <row r="206" ht="15.75" customHeight="1">
      <c r="A206" s="10">
        <v>32417.0</v>
      </c>
      <c r="B206" s="46"/>
      <c r="C206" s="46"/>
      <c r="D206" s="46">
        <v>2.0</v>
      </c>
      <c r="E206" s="46">
        <v>339336.0</v>
      </c>
      <c r="F206" s="46">
        <v>12.0</v>
      </c>
      <c r="G206" s="46"/>
      <c r="H206" s="46">
        <v>102.1</v>
      </c>
    </row>
    <row r="207" ht="15.75" customHeight="1">
      <c r="A207" s="10">
        <v>32448.0</v>
      </c>
      <c r="B207" s="46"/>
      <c r="C207" s="46"/>
      <c r="D207" s="46">
        <v>-2.0</v>
      </c>
      <c r="E207" s="46">
        <v>343587.0</v>
      </c>
      <c r="F207" s="46">
        <v>12.0</v>
      </c>
      <c r="G207" s="46"/>
      <c r="H207" s="46">
        <v>99.1</v>
      </c>
    </row>
    <row r="208" ht="15.75" customHeight="1">
      <c r="A208" s="10">
        <v>32478.0</v>
      </c>
      <c r="B208" s="46"/>
      <c r="C208" s="46"/>
      <c r="D208" s="46">
        <v>-5.0</v>
      </c>
      <c r="E208" s="46">
        <v>349691.0</v>
      </c>
      <c r="F208" s="46">
        <v>12.0</v>
      </c>
      <c r="G208" s="46"/>
      <c r="H208" s="46">
        <v>105.6</v>
      </c>
    </row>
    <row r="209" ht="15.75" customHeight="1">
      <c r="A209" s="10">
        <v>32509.0</v>
      </c>
      <c r="B209" s="46"/>
      <c r="C209" s="46"/>
      <c r="D209" s="46">
        <v>-3.0</v>
      </c>
      <c r="E209" s="46">
        <v>353781.0</v>
      </c>
      <c r="F209" s="46">
        <v>13.0</v>
      </c>
      <c r="G209" s="46"/>
      <c r="H209" s="46">
        <v>103.6</v>
      </c>
    </row>
    <row r="210" ht="15.75" customHeight="1">
      <c r="A210" s="10">
        <v>32540.0</v>
      </c>
      <c r="B210" s="46"/>
      <c r="C210" s="46"/>
      <c r="D210" s="46">
        <v>-12.0</v>
      </c>
      <c r="E210" s="46">
        <v>357385.0</v>
      </c>
      <c r="F210" s="46">
        <v>13.0</v>
      </c>
      <c r="G210" s="46"/>
      <c r="H210" s="46">
        <v>98.6</v>
      </c>
    </row>
    <row r="211" ht="15.75" customHeight="1">
      <c r="A211" s="10">
        <v>32568.0</v>
      </c>
      <c r="B211" s="46"/>
      <c r="C211" s="46"/>
      <c r="D211" s="46">
        <v>-13.0</v>
      </c>
      <c r="E211" s="46">
        <v>364043.0</v>
      </c>
      <c r="F211" s="46">
        <v>13.0</v>
      </c>
      <c r="G211" s="46"/>
      <c r="H211" s="46">
        <v>82.1</v>
      </c>
    </row>
    <row r="212" ht="15.75" customHeight="1">
      <c r="A212" s="10">
        <v>32599.0</v>
      </c>
      <c r="B212" s="46"/>
      <c r="C212" s="46"/>
      <c r="D212" s="46">
        <v>-11.0</v>
      </c>
      <c r="E212" s="46">
        <v>375250.0</v>
      </c>
      <c r="F212" s="46">
        <v>13.0</v>
      </c>
      <c r="G212" s="46"/>
      <c r="H212" s="46">
        <v>82.1</v>
      </c>
    </row>
    <row r="213" ht="15.75" customHeight="1">
      <c r="A213" s="10">
        <v>32629.0</v>
      </c>
      <c r="B213" s="46"/>
      <c r="C213" s="46"/>
      <c r="D213" s="46">
        <v>-16.0</v>
      </c>
      <c r="E213" s="46">
        <v>377337.0</v>
      </c>
      <c r="F213" s="46">
        <v>13.0</v>
      </c>
      <c r="G213" s="46"/>
      <c r="H213" s="46">
        <v>79.1</v>
      </c>
    </row>
    <row r="214" ht="15.75" customHeight="1">
      <c r="A214" s="10">
        <v>32660.0</v>
      </c>
      <c r="B214" s="46"/>
      <c r="C214" s="46"/>
      <c r="D214" s="46">
        <v>-17.0</v>
      </c>
      <c r="E214" s="46">
        <v>384837.0</v>
      </c>
      <c r="F214" s="46">
        <v>13.0</v>
      </c>
      <c r="G214" s="46"/>
      <c r="H214" s="46">
        <v>81.9</v>
      </c>
    </row>
    <row r="215" ht="15.75" customHeight="1">
      <c r="A215" s="10">
        <v>32690.0</v>
      </c>
      <c r="B215" s="46"/>
      <c r="C215" s="46"/>
      <c r="D215" s="46">
        <v>-12.0</v>
      </c>
      <c r="E215" s="46">
        <v>389444.0</v>
      </c>
      <c r="F215" s="46">
        <v>14.0</v>
      </c>
      <c r="G215" s="46"/>
      <c r="H215" s="46">
        <v>83.9</v>
      </c>
    </row>
    <row r="216" ht="15.75" customHeight="1">
      <c r="A216" s="10">
        <v>32721.0</v>
      </c>
      <c r="B216" s="46"/>
      <c r="C216" s="46"/>
      <c r="D216" s="46">
        <v>-17.0</v>
      </c>
      <c r="E216" s="46">
        <v>395891.0</v>
      </c>
      <c r="F216" s="46">
        <v>14.0</v>
      </c>
      <c r="G216" s="46"/>
      <c r="H216" s="46">
        <v>80.9</v>
      </c>
    </row>
    <row r="217" ht="15.75" customHeight="1">
      <c r="A217" s="10">
        <v>32752.0</v>
      </c>
      <c r="B217" s="46"/>
      <c r="C217" s="46"/>
      <c r="D217" s="46">
        <v>-18.0</v>
      </c>
      <c r="E217" s="46">
        <v>398267.0</v>
      </c>
      <c r="F217" s="46">
        <v>14.0</v>
      </c>
      <c r="G217" s="46"/>
      <c r="H217" s="46">
        <v>88.2</v>
      </c>
    </row>
    <row r="218" ht="15.75" customHeight="1">
      <c r="A218" s="10">
        <v>32782.0</v>
      </c>
      <c r="B218" s="46"/>
      <c r="C218" s="46"/>
      <c r="D218" s="46">
        <v>-15.0</v>
      </c>
      <c r="E218" s="46">
        <v>406400.0</v>
      </c>
      <c r="F218" s="46">
        <v>14.0</v>
      </c>
      <c r="G218" s="46"/>
      <c r="H218" s="46">
        <v>92.2</v>
      </c>
    </row>
    <row r="219" ht="15.75" customHeight="1">
      <c r="A219" s="10">
        <v>32813.0</v>
      </c>
      <c r="B219" s="46"/>
      <c r="C219" s="46"/>
      <c r="D219" s="46">
        <v>-15.0</v>
      </c>
      <c r="E219" s="46">
        <v>411272.0</v>
      </c>
      <c r="F219" s="46">
        <v>14.0</v>
      </c>
      <c r="G219" s="46"/>
      <c r="H219" s="46">
        <v>89.2</v>
      </c>
    </row>
    <row r="220" ht="15.75" customHeight="1">
      <c r="A220" s="10">
        <v>32843.0</v>
      </c>
      <c r="B220" s="46"/>
      <c r="C220" s="46"/>
      <c r="D220" s="46">
        <v>-29.0</v>
      </c>
      <c r="E220" s="46">
        <v>414596.0</v>
      </c>
      <c r="F220" s="46">
        <v>15.0</v>
      </c>
      <c r="G220" s="46"/>
      <c r="H220" s="46">
        <v>85.3</v>
      </c>
    </row>
    <row r="221" ht="15.75" customHeight="1">
      <c r="A221" s="10">
        <v>32874.0</v>
      </c>
      <c r="B221" s="46"/>
      <c r="C221" s="46"/>
      <c r="D221" s="46">
        <v>-26.0</v>
      </c>
      <c r="E221" s="46">
        <v>420769.0</v>
      </c>
      <c r="F221" s="46">
        <v>15.0</v>
      </c>
      <c r="G221" s="46"/>
      <c r="H221" s="46">
        <v>80.3</v>
      </c>
    </row>
    <row r="222" ht="15.75" customHeight="1">
      <c r="A222" s="10">
        <v>32905.0</v>
      </c>
      <c r="B222" s="46"/>
      <c r="C222" s="46"/>
      <c r="D222" s="46">
        <v>-25.0</v>
      </c>
      <c r="E222" s="46">
        <v>424225.0</v>
      </c>
      <c r="F222" s="46">
        <v>15.0</v>
      </c>
      <c r="G222" s="46"/>
      <c r="H222" s="46">
        <v>75.3</v>
      </c>
    </row>
    <row r="223" ht="15.75" customHeight="1">
      <c r="A223" s="10">
        <v>32933.0</v>
      </c>
      <c r="B223" s="46"/>
      <c r="C223" s="46"/>
      <c r="D223" s="46">
        <v>-19.0</v>
      </c>
      <c r="E223" s="46">
        <v>427456.0</v>
      </c>
      <c r="F223" s="46">
        <v>15.0</v>
      </c>
      <c r="G223" s="46"/>
      <c r="H223" s="46">
        <v>86.6</v>
      </c>
    </row>
    <row r="224" ht="15.75" customHeight="1">
      <c r="A224" s="10">
        <v>32964.0</v>
      </c>
      <c r="B224" s="46"/>
      <c r="C224" s="46"/>
      <c r="D224" s="46">
        <v>-24.0</v>
      </c>
      <c r="E224" s="46">
        <v>431335.0</v>
      </c>
      <c r="F224" s="46">
        <v>15.0</v>
      </c>
      <c r="G224" s="46"/>
      <c r="H224" s="46">
        <v>88.6</v>
      </c>
    </row>
    <row r="225" ht="15.75" customHeight="1">
      <c r="A225" s="10">
        <v>32994.0</v>
      </c>
      <c r="B225" s="46"/>
      <c r="C225" s="46"/>
      <c r="D225" s="46">
        <v>-35.0</v>
      </c>
      <c r="E225" s="46">
        <v>432347.0</v>
      </c>
      <c r="F225" s="46">
        <v>15.0</v>
      </c>
      <c r="G225" s="46"/>
      <c r="H225" s="46">
        <v>83.6</v>
      </c>
    </row>
    <row r="226" ht="15.75" customHeight="1">
      <c r="A226" s="10">
        <v>33025.0</v>
      </c>
      <c r="B226" s="46"/>
      <c r="C226" s="46"/>
      <c r="D226" s="46">
        <v>-31.0</v>
      </c>
      <c r="E226" s="46">
        <v>435047.0</v>
      </c>
      <c r="F226" s="46">
        <v>15.0</v>
      </c>
      <c r="G226" s="46"/>
      <c r="H226" s="46">
        <v>82.9</v>
      </c>
    </row>
    <row r="227" ht="15.75" customHeight="1">
      <c r="A227" s="10">
        <v>33055.0</v>
      </c>
      <c r="B227" s="46"/>
      <c r="C227" s="46"/>
      <c r="D227" s="46">
        <v>-30.0</v>
      </c>
      <c r="E227" s="46">
        <v>439627.0</v>
      </c>
      <c r="F227" s="46">
        <v>15.0</v>
      </c>
      <c r="G227" s="46"/>
      <c r="H227" s="46">
        <v>79.9</v>
      </c>
    </row>
    <row r="228" ht="15.75" customHeight="1">
      <c r="A228" s="10">
        <v>33086.0</v>
      </c>
      <c r="B228" s="46"/>
      <c r="C228" s="46"/>
      <c r="D228" s="46">
        <v>-27.0</v>
      </c>
      <c r="E228" s="46">
        <v>441270.0</v>
      </c>
      <c r="F228" s="46">
        <v>15.0</v>
      </c>
      <c r="G228" s="46"/>
      <c r="H228" s="46">
        <v>81.9</v>
      </c>
    </row>
    <row r="229" ht="15.75" customHeight="1">
      <c r="A229" s="10">
        <v>33117.0</v>
      </c>
      <c r="B229" s="46"/>
      <c r="C229" s="46"/>
      <c r="D229" s="46">
        <v>-24.0</v>
      </c>
      <c r="E229" s="46">
        <v>446379.0</v>
      </c>
      <c r="F229" s="46">
        <v>15.0</v>
      </c>
      <c r="G229" s="46"/>
      <c r="H229" s="46">
        <v>83.4</v>
      </c>
    </row>
    <row r="230" ht="15.75" customHeight="1">
      <c r="A230" s="10">
        <v>33147.0</v>
      </c>
      <c r="B230" s="46"/>
      <c r="C230" s="46"/>
      <c r="D230" s="46">
        <v>-26.0</v>
      </c>
      <c r="E230" s="46">
        <v>448126.0</v>
      </c>
      <c r="F230" s="46">
        <v>15.0</v>
      </c>
      <c r="G230" s="46"/>
      <c r="H230" s="46">
        <v>78.4</v>
      </c>
    </row>
    <row r="231" ht="15.75" customHeight="1">
      <c r="A231" s="10">
        <v>33178.0</v>
      </c>
      <c r="B231" s="46"/>
      <c r="C231" s="46"/>
      <c r="D231" s="46">
        <v>-29.0</v>
      </c>
      <c r="E231" s="46">
        <v>449378.0</v>
      </c>
      <c r="F231" s="46">
        <v>15.0</v>
      </c>
      <c r="G231" s="46"/>
      <c r="H231" s="46">
        <v>77.4</v>
      </c>
    </row>
    <row r="232" ht="15.75" customHeight="1">
      <c r="A232" s="10">
        <v>33208.0</v>
      </c>
      <c r="B232" s="46"/>
      <c r="C232" s="46"/>
      <c r="D232" s="46">
        <v>-27.0</v>
      </c>
      <c r="E232" s="46">
        <v>450833.0</v>
      </c>
      <c r="F232" s="46">
        <v>14.0</v>
      </c>
      <c r="G232" s="46"/>
      <c r="H232" s="46">
        <v>77.6</v>
      </c>
    </row>
    <row r="233" ht="15.75" customHeight="1">
      <c r="A233" s="10">
        <v>33239.0</v>
      </c>
      <c r="B233" s="46"/>
      <c r="C233" s="46"/>
      <c r="D233" s="46">
        <v>-29.0</v>
      </c>
      <c r="E233" s="46">
        <v>453012.0</v>
      </c>
      <c r="F233" s="46">
        <v>14.0</v>
      </c>
      <c r="G233" s="46"/>
      <c r="H233" s="46">
        <v>75.6</v>
      </c>
    </row>
    <row r="234" ht="15.75" customHeight="1">
      <c r="A234" s="10">
        <v>33270.0</v>
      </c>
      <c r="B234" s="46"/>
      <c r="C234" s="46"/>
      <c r="D234" s="46">
        <v>-19.0</v>
      </c>
      <c r="E234" s="46">
        <v>454558.0</v>
      </c>
      <c r="F234" s="46">
        <v>14.0</v>
      </c>
      <c r="G234" s="46"/>
      <c r="H234" s="46">
        <v>78.6</v>
      </c>
    </row>
    <row r="235" ht="15.75" customHeight="1">
      <c r="A235" s="10">
        <v>33298.0</v>
      </c>
      <c r="B235" s="46"/>
      <c r="C235" s="46"/>
      <c r="D235" s="46">
        <v>-24.0</v>
      </c>
      <c r="E235" s="46">
        <v>457292.0</v>
      </c>
      <c r="F235" s="46">
        <v>14.0</v>
      </c>
      <c r="G235" s="46"/>
      <c r="H235" s="46">
        <v>74.1</v>
      </c>
    </row>
    <row r="236" ht="15.75" customHeight="1">
      <c r="A236" s="10">
        <v>33329.0</v>
      </c>
      <c r="B236" s="46"/>
      <c r="C236" s="46"/>
      <c r="D236" s="46">
        <v>-27.0</v>
      </c>
      <c r="E236" s="46">
        <v>458223.0</v>
      </c>
      <c r="F236" s="46">
        <v>13.0</v>
      </c>
      <c r="G236" s="46"/>
      <c r="H236" s="46">
        <v>74.1</v>
      </c>
    </row>
    <row r="237" ht="15.75" customHeight="1">
      <c r="A237" s="10">
        <v>33359.0</v>
      </c>
      <c r="B237" s="46"/>
      <c r="C237" s="46"/>
      <c r="D237" s="46">
        <v>-21.0</v>
      </c>
      <c r="E237" s="46">
        <v>458142.0</v>
      </c>
      <c r="F237" s="46">
        <v>12.5</v>
      </c>
      <c r="G237" s="46"/>
      <c r="H237" s="46">
        <v>74.1</v>
      </c>
    </row>
    <row r="238" ht="15.75" customHeight="1">
      <c r="A238" s="10">
        <v>33390.0</v>
      </c>
      <c r="B238" s="46"/>
      <c r="C238" s="46"/>
      <c r="D238" s="46">
        <v>-20.0</v>
      </c>
      <c r="E238" s="46">
        <v>459577.0</v>
      </c>
      <c r="F238" s="46">
        <v>12.0</v>
      </c>
      <c r="G238" s="46"/>
      <c r="H238" s="46">
        <v>81.5</v>
      </c>
    </row>
    <row r="239" ht="15.75" customHeight="1">
      <c r="A239" s="10">
        <v>33420.0</v>
      </c>
      <c r="B239" s="46"/>
      <c r="C239" s="46"/>
      <c r="D239" s="46">
        <v>-19.0</v>
      </c>
      <c r="E239" s="46">
        <v>461503.0</v>
      </c>
      <c r="F239" s="46">
        <v>11.5</v>
      </c>
      <c r="G239" s="46"/>
      <c r="H239" s="46">
        <v>74.5</v>
      </c>
    </row>
    <row r="240" ht="15.75" customHeight="1">
      <c r="A240" s="10">
        <v>33451.0</v>
      </c>
      <c r="B240" s="46"/>
      <c r="C240" s="46"/>
      <c r="D240" s="46">
        <v>-19.0</v>
      </c>
      <c r="E240" s="46">
        <v>460676.0</v>
      </c>
      <c r="F240" s="46">
        <v>11.5</v>
      </c>
      <c r="G240" s="46"/>
      <c r="H240" s="46">
        <v>64.5</v>
      </c>
    </row>
    <row r="241" ht="15.75" customHeight="1">
      <c r="A241" s="10">
        <v>33482.0</v>
      </c>
      <c r="B241" s="46"/>
      <c r="C241" s="46"/>
      <c r="D241" s="46">
        <v>-19.0</v>
      </c>
      <c r="E241" s="46">
        <v>461044.0</v>
      </c>
      <c r="F241" s="46">
        <v>11.0</v>
      </c>
      <c r="G241" s="46"/>
      <c r="H241" s="46">
        <v>66.6</v>
      </c>
    </row>
    <row r="242" ht="15.75" customHeight="1">
      <c r="A242" s="10">
        <v>33512.0</v>
      </c>
      <c r="B242" s="46"/>
      <c r="C242" s="46"/>
      <c r="D242" s="46">
        <v>-15.0</v>
      </c>
      <c r="E242" s="46">
        <v>462586.0</v>
      </c>
      <c r="F242" s="46">
        <v>11.0</v>
      </c>
      <c r="G242" s="46"/>
      <c r="H242" s="46">
        <v>62.6</v>
      </c>
    </row>
    <row r="243" ht="15.75" customHeight="1">
      <c r="A243" s="10">
        <v>33543.0</v>
      </c>
      <c r="B243" s="46"/>
      <c r="C243" s="46"/>
      <c r="D243" s="46">
        <v>-11.0</v>
      </c>
      <c r="E243" s="46">
        <v>466052.0</v>
      </c>
      <c r="F243" s="46">
        <v>10.5</v>
      </c>
      <c r="G243" s="46"/>
      <c r="H243" s="46">
        <v>73.6</v>
      </c>
    </row>
    <row r="244" ht="15.75" customHeight="1">
      <c r="A244" s="10">
        <v>33573.0</v>
      </c>
      <c r="B244" s="46"/>
      <c r="C244" s="46"/>
      <c r="D244" s="46">
        <v>-10.0</v>
      </c>
      <c r="E244" s="46">
        <v>467404.0</v>
      </c>
      <c r="F244" s="46">
        <v>10.5</v>
      </c>
      <c r="G244" s="46"/>
      <c r="H244" s="46">
        <v>79.3</v>
      </c>
    </row>
    <row r="245" ht="15.75" customHeight="1">
      <c r="A245" s="10">
        <v>33604.0</v>
      </c>
      <c r="B245" s="46"/>
      <c r="C245" s="46"/>
      <c r="D245" s="46">
        <v>-13.0</v>
      </c>
      <c r="E245" s="46">
        <v>468709.0</v>
      </c>
      <c r="F245" s="46">
        <v>10.5</v>
      </c>
      <c r="G245" s="46"/>
      <c r="H245" s="46">
        <v>79.3</v>
      </c>
    </row>
    <row r="246" ht="15.75" customHeight="1">
      <c r="A246" s="10">
        <v>33635.0</v>
      </c>
      <c r="B246" s="46"/>
      <c r="C246" s="46"/>
      <c r="D246" s="46">
        <v>-15.0</v>
      </c>
      <c r="E246" s="46">
        <v>471976.0</v>
      </c>
      <c r="F246" s="46">
        <v>10.5</v>
      </c>
      <c r="G246" s="46"/>
      <c r="H246" s="46">
        <v>74.3</v>
      </c>
    </row>
    <row r="247" ht="15.75" customHeight="1">
      <c r="A247" s="10">
        <v>33664.0</v>
      </c>
      <c r="B247" s="46"/>
      <c r="C247" s="46"/>
      <c r="D247" s="46">
        <v>-17.0</v>
      </c>
      <c r="E247" s="46">
        <v>469429.0</v>
      </c>
      <c r="F247" s="46">
        <v>10.5</v>
      </c>
      <c r="G247" s="46"/>
      <c r="H247" s="46">
        <v>86.87</v>
      </c>
    </row>
    <row r="248" ht="15.75" customHeight="1">
      <c r="A248" s="10">
        <v>33695.0</v>
      </c>
      <c r="B248" s="46"/>
      <c r="C248" s="46"/>
      <c r="D248" s="46">
        <v>-17.0</v>
      </c>
      <c r="E248" s="46">
        <v>471854.0</v>
      </c>
      <c r="F248" s="46">
        <v>10.5</v>
      </c>
      <c r="G248" s="46"/>
      <c r="H248" s="46">
        <v>87.82</v>
      </c>
    </row>
    <row r="249" ht="15.75" customHeight="1">
      <c r="A249" s="10">
        <v>33725.0</v>
      </c>
      <c r="B249" s="46"/>
      <c r="C249" s="46"/>
      <c r="D249" s="46">
        <v>-15.0</v>
      </c>
      <c r="E249" s="46">
        <v>473206.0</v>
      </c>
      <c r="F249" s="46">
        <v>10.5</v>
      </c>
      <c r="G249" s="46"/>
      <c r="H249" s="46">
        <v>84.05</v>
      </c>
    </row>
    <row r="250" ht="15.75" customHeight="1">
      <c r="A250" s="10">
        <v>33756.0</v>
      </c>
      <c r="B250" s="46"/>
      <c r="C250" s="46"/>
      <c r="D250" s="46">
        <v>-9.0</v>
      </c>
      <c r="E250" s="46">
        <v>472310.0</v>
      </c>
      <c r="F250" s="46">
        <v>10.5</v>
      </c>
      <c r="G250" s="46"/>
      <c r="H250" s="46">
        <v>82.6</v>
      </c>
    </row>
    <row r="251" ht="15.75" customHeight="1">
      <c r="A251" s="10">
        <v>33786.0</v>
      </c>
      <c r="B251" s="46"/>
      <c r="C251" s="46"/>
      <c r="D251" s="46">
        <v>-2.0</v>
      </c>
      <c r="E251" s="46">
        <v>478181.0</v>
      </c>
      <c r="F251" s="46">
        <v>10.0</v>
      </c>
      <c r="G251" s="46"/>
      <c r="H251" s="46">
        <v>81.88</v>
      </c>
    </row>
    <row r="252" ht="15.75" customHeight="1">
      <c r="A252" s="10">
        <v>33817.0</v>
      </c>
      <c r="B252" s="46"/>
      <c r="C252" s="46"/>
      <c r="D252" s="46">
        <v>-7.0</v>
      </c>
      <c r="E252" s="46">
        <v>484161.0</v>
      </c>
      <c r="F252" s="46">
        <v>10.0</v>
      </c>
      <c r="G252" s="46"/>
      <c r="H252" s="46">
        <v>82.05</v>
      </c>
    </row>
    <row r="253" ht="15.75" customHeight="1">
      <c r="A253" s="10">
        <v>33848.0</v>
      </c>
      <c r="B253" s="46"/>
      <c r="C253" s="46"/>
      <c r="D253" s="46">
        <v>-12.0</v>
      </c>
      <c r="E253" s="46">
        <v>482954.0</v>
      </c>
      <c r="F253" s="46">
        <v>10.0</v>
      </c>
      <c r="G253" s="46"/>
      <c r="H253" s="46">
        <v>79.96</v>
      </c>
    </row>
    <row r="254" ht="15.75" customHeight="1">
      <c r="A254" s="10">
        <v>33878.0</v>
      </c>
      <c r="B254" s="46"/>
      <c r="C254" s="46"/>
      <c r="D254" s="46">
        <v>-19.0</v>
      </c>
      <c r="E254" s="46">
        <v>481610.0</v>
      </c>
      <c r="F254" s="46">
        <v>10.0</v>
      </c>
      <c r="G254" s="46"/>
      <c r="H254" s="46">
        <v>83.27</v>
      </c>
    </row>
    <row r="255" ht="15.75" customHeight="1">
      <c r="A255" s="10">
        <v>33909.0</v>
      </c>
      <c r="B255" s="46"/>
      <c r="C255" s="46"/>
      <c r="D255" s="46">
        <v>-21.0</v>
      </c>
      <c r="E255" s="46">
        <v>481963.0</v>
      </c>
      <c r="F255" s="46">
        <v>9.0</v>
      </c>
      <c r="G255" s="46"/>
      <c r="H255" s="46">
        <v>81.64</v>
      </c>
    </row>
    <row r="256" ht="15.75" customHeight="1">
      <c r="A256" s="10">
        <v>33939.0</v>
      </c>
      <c r="B256" s="46"/>
      <c r="C256" s="46"/>
      <c r="D256" s="46">
        <v>-28.0</v>
      </c>
      <c r="E256" s="46">
        <v>484118.0</v>
      </c>
      <c r="F256" s="46">
        <v>8.0</v>
      </c>
      <c r="G256" s="46"/>
      <c r="H256" s="46">
        <v>89.88</v>
      </c>
    </row>
    <row r="257" ht="15.75" customHeight="1">
      <c r="A257" s="10">
        <v>33970.0</v>
      </c>
      <c r="B257" s="46"/>
      <c r="C257" s="46"/>
      <c r="D257" s="46">
        <v>-28.0</v>
      </c>
      <c r="E257" s="46">
        <v>484619.0</v>
      </c>
      <c r="F257" s="46">
        <v>7.0</v>
      </c>
      <c r="G257" s="46"/>
      <c r="H257" s="46">
        <v>90.58</v>
      </c>
    </row>
    <row r="258" ht="15.75" customHeight="1">
      <c r="A258" s="10">
        <v>34001.0</v>
      </c>
      <c r="B258" s="46"/>
      <c r="C258" s="46"/>
      <c r="D258" s="46">
        <v>-23.0</v>
      </c>
      <c r="E258" s="46">
        <v>486466.0</v>
      </c>
      <c r="F258" s="46">
        <v>7.0</v>
      </c>
      <c r="G258" s="46"/>
      <c r="H258" s="46">
        <v>87.94</v>
      </c>
    </row>
    <row r="259" ht="15.75" customHeight="1">
      <c r="A259" s="10">
        <v>34029.0</v>
      </c>
      <c r="B259" s="46"/>
      <c r="C259" s="46"/>
      <c r="D259" s="46">
        <v>-13.0</v>
      </c>
      <c r="E259" s="46">
        <v>487197.0</v>
      </c>
      <c r="F259" s="46">
        <v>6.0</v>
      </c>
      <c r="G259" s="46"/>
      <c r="H259" s="46">
        <v>87.45</v>
      </c>
    </row>
    <row r="260" ht="15.75" customHeight="1">
      <c r="A260" s="10">
        <v>34060.0</v>
      </c>
      <c r="B260" s="46"/>
      <c r="C260" s="46"/>
      <c r="D260" s="46">
        <v>-19.0</v>
      </c>
      <c r="E260" s="46">
        <v>490251.0</v>
      </c>
      <c r="F260" s="46">
        <v>6.0</v>
      </c>
      <c r="G260" s="46"/>
      <c r="H260" s="46">
        <v>86.86</v>
      </c>
    </row>
    <row r="261" ht="15.75" customHeight="1">
      <c r="A261" s="10">
        <v>34090.0</v>
      </c>
      <c r="B261" s="46"/>
      <c r="C261" s="46"/>
      <c r="D261" s="46">
        <v>-17.0</v>
      </c>
      <c r="E261" s="46">
        <v>493206.0</v>
      </c>
      <c r="F261" s="46">
        <v>6.0</v>
      </c>
      <c r="G261" s="46"/>
      <c r="H261" s="46">
        <v>83.81</v>
      </c>
    </row>
    <row r="262" ht="15.75" customHeight="1">
      <c r="A262" s="10">
        <v>34121.0</v>
      </c>
      <c r="B262" s="46"/>
      <c r="C262" s="46"/>
      <c r="D262" s="46">
        <v>-18.0</v>
      </c>
      <c r="E262" s="46">
        <v>495844.0</v>
      </c>
      <c r="F262" s="46">
        <v>6.0</v>
      </c>
      <c r="G262" s="46"/>
      <c r="H262" s="46">
        <v>79.75</v>
      </c>
    </row>
    <row r="263" ht="15.75" customHeight="1">
      <c r="A263" s="10">
        <v>34151.0</v>
      </c>
      <c r="B263" s="46"/>
      <c r="C263" s="46"/>
      <c r="D263" s="46">
        <v>-6.0</v>
      </c>
      <c r="E263" s="46">
        <v>497140.0</v>
      </c>
      <c r="F263" s="46">
        <v>6.0</v>
      </c>
      <c r="G263" s="46"/>
      <c r="H263" s="46">
        <v>77.91</v>
      </c>
    </row>
    <row r="264" ht="15.75" customHeight="1">
      <c r="A264" s="10">
        <v>34182.0</v>
      </c>
      <c r="B264" s="46"/>
      <c r="C264" s="46"/>
      <c r="D264" s="46">
        <v>-13.0</v>
      </c>
      <c r="E264" s="46">
        <v>500848.0</v>
      </c>
      <c r="F264" s="46">
        <v>6.0</v>
      </c>
      <c r="G264" s="46"/>
      <c r="H264" s="46">
        <v>82.34</v>
      </c>
    </row>
    <row r="265" ht="15.75" customHeight="1">
      <c r="A265" s="10">
        <v>34213.0</v>
      </c>
      <c r="B265" s="46"/>
      <c r="C265" s="46"/>
      <c r="D265" s="46">
        <v>-12.0</v>
      </c>
      <c r="E265" s="46">
        <v>503966.0</v>
      </c>
      <c r="F265" s="46">
        <v>6.0</v>
      </c>
      <c r="G265" s="46"/>
      <c r="H265" s="46">
        <v>81.84</v>
      </c>
    </row>
    <row r="266" ht="15.75" customHeight="1">
      <c r="A266" s="10">
        <v>34243.0</v>
      </c>
      <c r="B266" s="46"/>
      <c r="C266" s="46"/>
      <c r="D266" s="46">
        <v>-7.0</v>
      </c>
      <c r="E266" s="46">
        <v>509224.0</v>
      </c>
      <c r="F266" s="46">
        <v>6.0</v>
      </c>
      <c r="G266" s="46"/>
      <c r="H266" s="46">
        <v>82.47</v>
      </c>
    </row>
    <row r="267" ht="15.75" customHeight="1">
      <c r="A267" s="10">
        <v>34274.0</v>
      </c>
      <c r="B267" s="46"/>
      <c r="C267" s="46"/>
      <c r="D267" s="46">
        <v>-7.0</v>
      </c>
      <c r="E267" s="46">
        <v>509857.0</v>
      </c>
      <c r="F267" s="46">
        <v>6.0</v>
      </c>
      <c r="G267" s="46"/>
      <c r="H267" s="46">
        <v>87.41</v>
      </c>
    </row>
    <row r="268" ht="15.75" customHeight="1">
      <c r="A268" s="10">
        <v>34304.0</v>
      </c>
      <c r="B268" s="46"/>
      <c r="C268" s="46"/>
      <c r="D268" s="46">
        <v>-11.0</v>
      </c>
      <c r="E268" s="46">
        <v>514144.0</v>
      </c>
      <c r="F268" s="46">
        <v>6.0</v>
      </c>
      <c r="G268" s="46"/>
      <c r="H268" s="46">
        <v>80.06</v>
      </c>
    </row>
    <row r="269" ht="15.75" customHeight="1">
      <c r="A269" s="10">
        <v>34335.0</v>
      </c>
      <c r="B269" s="46"/>
      <c r="C269" s="46"/>
      <c r="D269" s="46">
        <v>-15.0</v>
      </c>
      <c r="E269" s="46">
        <v>515800.0</v>
      </c>
      <c r="F269" s="46">
        <v>5.5</v>
      </c>
      <c r="G269" s="46"/>
      <c r="H269" s="46">
        <v>80.57</v>
      </c>
    </row>
    <row r="270" ht="15.75" customHeight="1">
      <c r="A270" s="10">
        <v>34366.0</v>
      </c>
      <c r="B270" s="46"/>
      <c r="C270" s="46"/>
      <c r="D270" s="46">
        <v>-15.0</v>
      </c>
      <c r="E270" s="46">
        <v>514351.0</v>
      </c>
      <c r="F270" s="46">
        <v>5.5</v>
      </c>
      <c r="G270" s="46"/>
      <c r="H270" s="46">
        <v>74.06</v>
      </c>
    </row>
    <row r="271" ht="15.75" customHeight="1">
      <c r="A271" s="10">
        <v>34394.0</v>
      </c>
      <c r="B271" s="46"/>
      <c r="C271" s="46"/>
      <c r="D271" s="46">
        <v>-7.0</v>
      </c>
      <c r="E271" s="46">
        <v>517821.0</v>
      </c>
      <c r="F271" s="46">
        <v>5.5</v>
      </c>
      <c r="G271" s="46"/>
      <c r="H271" s="46">
        <v>75.19</v>
      </c>
    </row>
    <row r="272" ht="15.75" customHeight="1">
      <c r="A272" s="10">
        <v>34425.0</v>
      </c>
      <c r="B272" s="46"/>
      <c r="C272" s="46"/>
      <c r="D272" s="46">
        <v>-13.0</v>
      </c>
      <c r="E272" s="46">
        <v>517047.0</v>
      </c>
      <c r="F272" s="46">
        <v>5.25</v>
      </c>
      <c r="G272" s="46"/>
      <c r="H272" s="46">
        <v>70.48</v>
      </c>
    </row>
    <row r="273" ht="15.75" customHeight="1">
      <c r="A273" s="10">
        <v>34455.0</v>
      </c>
      <c r="B273" s="46"/>
      <c r="C273" s="46"/>
      <c r="D273" s="46">
        <v>-17.0</v>
      </c>
      <c r="E273" s="46">
        <v>516704.0</v>
      </c>
      <c r="F273" s="46">
        <v>5.25</v>
      </c>
      <c r="G273" s="46"/>
      <c r="H273" s="46">
        <v>68.65</v>
      </c>
    </row>
    <row r="274" ht="15.75" customHeight="1">
      <c r="A274" s="10">
        <v>34486.0</v>
      </c>
      <c r="B274" s="46"/>
      <c r="C274" s="46"/>
      <c r="D274" s="46">
        <v>-18.0</v>
      </c>
      <c r="E274" s="46">
        <v>518708.0</v>
      </c>
      <c r="F274" s="46">
        <v>5.25</v>
      </c>
      <c r="G274" s="46"/>
      <c r="H274" s="46">
        <v>72.61</v>
      </c>
    </row>
    <row r="275" ht="15.75" customHeight="1">
      <c r="A275" s="10">
        <v>34516.0</v>
      </c>
      <c r="B275" s="46"/>
      <c r="C275" s="46"/>
      <c r="D275" s="46">
        <v>-15.0</v>
      </c>
      <c r="E275" s="46">
        <v>521846.0</v>
      </c>
      <c r="F275" s="46">
        <v>5.25</v>
      </c>
      <c r="G275" s="46"/>
      <c r="H275" s="46">
        <v>75.38</v>
      </c>
    </row>
    <row r="276" ht="15.75" customHeight="1">
      <c r="A276" s="10">
        <v>34547.0</v>
      </c>
      <c r="B276" s="46"/>
      <c r="C276" s="46"/>
      <c r="D276" s="46">
        <v>-12.0</v>
      </c>
      <c r="E276" s="46">
        <v>521152.0</v>
      </c>
      <c r="F276" s="46">
        <v>5.25</v>
      </c>
      <c r="G276" s="46"/>
      <c r="H276" s="46">
        <v>74.27</v>
      </c>
    </row>
    <row r="277" ht="15.75" customHeight="1">
      <c r="A277" s="10">
        <v>34578.0</v>
      </c>
      <c r="B277" s="46"/>
      <c r="C277" s="46"/>
      <c r="D277" s="46">
        <v>-11.0</v>
      </c>
      <c r="E277" s="46">
        <v>525043.0</v>
      </c>
      <c r="F277" s="46">
        <v>5.25</v>
      </c>
      <c r="G277" s="46"/>
      <c r="H277" s="46">
        <v>80.07</v>
      </c>
    </row>
    <row r="278" ht="15.75" customHeight="1">
      <c r="A278" s="10">
        <v>34608.0</v>
      </c>
      <c r="B278" s="46"/>
      <c r="C278" s="46"/>
      <c r="D278" s="46">
        <v>-8.0</v>
      </c>
      <c r="E278" s="46">
        <v>527062.0</v>
      </c>
      <c r="F278" s="46">
        <v>5.25</v>
      </c>
      <c r="G278" s="46"/>
      <c r="H278" s="46">
        <v>81.07</v>
      </c>
    </row>
    <row r="279" ht="15.75" customHeight="1">
      <c r="A279" s="10">
        <v>34639.0</v>
      </c>
      <c r="B279" s="46"/>
      <c r="C279" s="46"/>
      <c r="D279" s="46">
        <v>-9.0</v>
      </c>
      <c r="E279" s="46">
        <v>529684.0</v>
      </c>
      <c r="F279" s="46">
        <v>5.75</v>
      </c>
      <c r="G279" s="46"/>
      <c r="H279" s="46">
        <v>84.53</v>
      </c>
    </row>
    <row r="280" ht="15.75" customHeight="1">
      <c r="A280" s="10">
        <v>34669.0</v>
      </c>
      <c r="B280" s="46"/>
      <c r="C280" s="46"/>
      <c r="D280" s="46">
        <v>-11.0</v>
      </c>
      <c r="E280" s="46">
        <v>533797.0</v>
      </c>
      <c r="F280" s="46">
        <v>5.75</v>
      </c>
      <c r="G280" s="46"/>
      <c r="H280" s="46">
        <v>85.45</v>
      </c>
    </row>
    <row r="281" ht="15.75" customHeight="1">
      <c r="A281" s="10">
        <v>34700.0</v>
      </c>
      <c r="B281" s="46"/>
      <c r="C281" s="46"/>
      <c r="D281" s="46">
        <v>-8.0</v>
      </c>
      <c r="E281" s="46">
        <v>542838.0</v>
      </c>
      <c r="F281" s="46">
        <v>5.75</v>
      </c>
      <c r="G281" s="46"/>
      <c r="H281" s="46">
        <v>79.92</v>
      </c>
    </row>
    <row r="282" ht="15.75" customHeight="1">
      <c r="A282" s="10">
        <v>34731.0</v>
      </c>
      <c r="B282" s="46"/>
      <c r="C282" s="46"/>
      <c r="D282" s="46">
        <v>-18.0</v>
      </c>
      <c r="E282" s="46">
        <v>543047.0</v>
      </c>
      <c r="F282" s="46">
        <v>6.25</v>
      </c>
      <c r="G282" s="46"/>
      <c r="H282" s="46">
        <v>82.97</v>
      </c>
    </row>
    <row r="283" ht="15.75" customHeight="1">
      <c r="A283" s="10">
        <v>34759.0</v>
      </c>
      <c r="B283" s="46"/>
      <c r="C283" s="46"/>
      <c r="D283" s="46">
        <v>-9.0</v>
      </c>
      <c r="E283" s="46">
        <v>546870.0</v>
      </c>
      <c r="F283" s="46">
        <v>6.25</v>
      </c>
      <c r="G283" s="46"/>
      <c r="H283" s="46">
        <v>81.01</v>
      </c>
    </row>
    <row r="284" ht="15.75" customHeight="1">
      <c r="A284" s="10">
        <v>34790.0</v>
      </c>
      <c r="B284" s="46"/>
      <c r="C284" s="46"/>
      <c r="D284" s="46">
        <v>-12.0</v>
      </c>
      <c r="E284" s="46">
        <v>550463.0</v>
      </c>
      <c r="F284" s="46">
        <v>6.75</v>
      </c>
      <c r="G284" s="46"/>
      <c r="H284" s="46">
        <v>84.36</v>
      </c>
    </row>
    <row r="285" ht="15.75" customHeight="1">
      <c r="A285" s="10">
        <v>34820.0</v>
      </c>
      <c r="B285" s="46"/>
      <c r="C285" s="46"/>
      <c r="D285" s="46">
        <v>-14.0</v>
      </c>
      <c r="E285" s="46">
        <v>558016.0</v>
      </c>
      <c r="F285" s="46">
        <v>6.75</v>
      </c>
      <c r="G285" s="46"/>
      <c r="H285" s="46">
        <v>88.7</v>
      </c>
    </row>
    <row r="286" ht="15.75" customHeight="1">
      <c r="A286" s="10">
        <v>34851.0</v>
      </c>
      <c r="B286" s="46"/>
      <c r="C286" s="46"/>
      <c r="D286" s="46">
        <v>-12.0</v>
      </c>
      <c r="E286" s="46">
        <v>564147.0</v>
      </c>
      <c r="F286" s="46">
        <v>6.75</v>
      </c>
      <c r="G286" s="46"/>
      <c r="H286" s="46">
        <v>88.62</v>
      </c>
    </row>
    <row r="287" ht="15.75" customHeight="1">
      <c r="A287" s="10">
        <v>34881.0</v>
      </c>
      <c r="B287" s="46"/>
      <c r="C287" s="46"/>
      <c r="D287" s="46">
        <v>-11.0</v>
      </c>
      <c r="E287" s="46">
        <v>567902.0</v>
      </c>
      <c r="F287" s="46">
        <v>6.75</v>
      </c>
      <c r="G287" s="46"/>
      <c r="H287" s="46">
        <v>91.51</v>
      </c>
    </row>
    <row r="288" ht="15.75" customHeight="1">
      <c r="A288" s="10">
        <v>34912.0</v>
      </c>
      <c r="B288" s="46"/>
      <c r="C288" s="46"/>
      <c r="D288" s="46">
        <v>-10.0</v>
      </c>
      <c r="E288" s="46">
        <v>573667.0</v>
      </c>
      <c r="F288" s="46">
        <v>6.75</v>
      </c>
      <c r="G288" s="46"/>
      <c r="H288" s="46">
        <v>98.07</v>
      </c>
    </row>
    <row r="289" ht="15.75" customHeight="1">
      <c r="A289" s="10">
        <v>34943.0</v>
      </c>
      <c r="B289" s="46"/>
      <c r="C289" s="46"/>
      <c r="D289" s="46">
        <v>-7.0</v>
      </c>
      <c r="E289" s="46">
        <v>577811.0</v>
      </c>
      <c r="F289" s="46">
        <v>6.75</v>
      </c>
      <c r="G289" s="46"/>
      <c r="H289" s="46">
        <v>101.35</v>
      </c>
    </row>
    <row r="290" ht="15.75" customHeight="1">
      <c r="A290" s="10">
        <v>34973.0</v>
      </c>
      <c r="B290" s="46"/>
      <c r="C290" s="46"/>
      <c r="D290" s="46">
        <v>-7.0</v>
      </c>
      <c r="E290" s="46">
        <v>580901.0</v>
      </c>
      <c r="F290" s="46">
        <v>6.75</v>
      </c>
      <c r="G290" s="46"/>
      <c r="H290" s="46">
        <v>102.81</v>
      </c>
    </row>
    <row r="291" ht="15.75" customHeight="1">
      <c r="A291" s="10">
        <v>35004.0</v>
      </c>
      <c r="B291" s="46"/>
      <c r="C291" s="46"/>
      <c r="D291" s="46">
        <v>-8.0</v>
      </c>
      <c r="E291" s="46">
        <v>588837.0</v>
      </c>
      <c r="F291" s="46">
        <v>6.75</v>
      </c>
      <c r="G291" s="46"/>
      <c r="H291" s="46">
        <v>101.3</v>
      </c>
    </row>
    <row r="292" ht="15.75" customHeight="1">
      <c r="A292" s="10">
        <v>35034.0</v>
      </c>
      <c r="B292" s="46"/>
      <c r="C292" s="46"/>
      <c r="D292" s="46">
        <v>-8.0</v>
      </c>
      <c r="E292" s="46">
        <v>591459.0</v>
      </c>
      <c r="F292" s="46">
        <v>6.75</v>
      </c>
      <c r="G292" s="46"/>
      <c r="H292" s="46">
        <v>107.33</v>
      </c>
    </row>
    <row r="293" ht="15.75" customHeight="1">
      <c r="A293" s="10">
        <v>35065.0</v>
      </c>
      <c r="B293" s="46"/>
      <c r="C293" s="46"/>
      <c r="D293" s="46">
        <v>-10.0</v>
      </c>
      <c r="E293" s="46">
        <v>596105.0</v>
      </c>
      <c r="F293" s="46">
        <v>6.75</v>
      </c>
      <c r="G293" s="46">
        <v>72.9</v>
      </c>
      <c r="H293" s="46">
        <v>94.97</v>
      </c>
    </row>
    <row r="294" ht="15.75" customHeight="1">
      <c r="A294" s="10">
        <v>35096.0</v>
      </c>
      <c r="B294" s="46"/>
      <c r="C294" s="46"/>
      <c r="D294" s="46">
        <v>-11.0</v>
      </c>
      <c r="E294" s="46">
        <v>601055.0</v>
      </c>
      <c r="F294" s="46">
        <v>6.5</v>
      </c>
      <c r="G294" s="46">
        <v>73.2</v>
      </c>
      <c r="H294" s="46">
        <v>99.98</v>
      </c>
    </row>
    <row r="295" ht="15.75" customHeight="1">
      <c r="A295" s="10">
        <v>35125.0</v>
      </c>
      <c r="B295" s="46"/>
      <c r="C295" s="46"/>
      <c r="D295" s="46">
        <v>-5.0</v>
      </c>
      <c r="E295" s="46">
        <v>601715.0</v>
      </c>
      <c r="F295" s="46">
        <v>6.25</v>
      </c>
      <c r="G295" s="46">
        <v>73.5</v>
      </c>
      <c r="H295" s="46">
        <v>100.63</v>
      </c>
    </row>
    <row r="296" ht="15.75" customHeight="1">
      <c r="A296" s="10">
        <v>35156.0</v>
      </c>
      <c r="B296" s="46"/>
      <c r="C296" s="46"/>
      <c r="D296" s="46">
        <v>-9.0</v>
      </c>
      <c r="E296" s="46">
        <v>610866.0</v>
      </c>
      <c r="F296" s="46">
        <v>6.25</v>
      </c>
      <c r="G296" s="46">
        <v>74.0</v>
      </c>
      <c r="H296" s="46">
        <v>103.06</v>
      </c>
    </row>
    <row r="297" ht="15.75" customHeight="1">
      <c r="A297" s="10">
        <v>35186.0</v>
      </c>
      <c r="B297" s="46"/>
      <c r="C297" s="46"/>
      <c r="D297" s="46">
        <v>-8.0</v>
      </c>
      <c r="E297" s="46">
        <v>613803.0</v>
      </c>
      <c r="F297" s="46">
        <v>6.0</v>
      </c>
      <c r="G297" s="46">
        <v>74.2</v>
      </c>
      <c r="H297" s="46">
        <v>104.23</v>
      </c>
    </row>
    <row r="298" ht="15.75" customHeight="1">
      <c r="A298" s="10">
        <v>35217.0</v>
      </c>
      <c r="B298" s="46"/>
      <c r="C298" s="46"/>
      <c r="D298" s="46">
        <v>-8.0</v>
      </c>
      <c r="E298" s="46">
        <v>617688.0</v>
      </c>
      <c r="F298" s="46">
        <v>6.0</v>
      </c>
      <c r="G298" s="46">
        <v>74.3</v>
      </c>
      <c r="H298" s="46">
        <v>103.45</v>
      </c>
    </row>
    <row r="299" ht="15.75" customHeight="1">
      <c r="A299" s="10">
        <v>35247.0</v>
      </c>
      <c r="B299" s="46"/>
      <c r="C299" s="46"/>
      <c r="D299" s="46">
        <v>-6.0</v>
      </c>
      <c r="E299" s="46">
        <v>627256.0</v>
      </c>
      <c r="F299" s="46">
        <v>6.0</v>
      </c>
      <c r="G299" s="46">
        <v>73.8</v>
      </c>
      <c r="H299" s="46">
        <v>102.21</v>
      </c>
    </row>
    <row r="300" ht="15.75" customHeight="1">
      <c r="A300" s="10">
        <v>35278.0</v>
      </c>
      <c r="B300" s="46"/>
      <c r="C300" s="46"/>
      <c r="D300" s="46">
        <v>-7.0</v>
      </c>
      <c r="E300" s="46">
        <v>627081.0</v>
      </c>
      <c r="F300" s="46">
        <v>5.75</v>
      </c>
      <c r="G300" s="46">
        <v>74.1</v>
      </c>
      <c r="H300" s="46">
        <v>89.45</v>
      </c>
    </row>
    <row r="301" ht="15.75" customHeight="1">
      <c r="A301" s="10">
        <v>35309.0</v>
      </c>
      <c r="B301" s="46"/>
      <c r="C301" s="46"/>
      <c r="D301" s="46">
        <v>-4.0</v>
      </c>
      <c r="E301" s="46">
        <v>633238.0</v>
      </c>
      <c r="F301" s="46">
        <v>5.75</v>
      </c>
      <c r="G301" s="46">
        <v>74.7</v>
      </c>
      <c r="H301" s="46">
        <v>83.64</v>
      </c>
    </row>
    <row r="302" ht="15.75" customHeight="1">
      <c r="A302" s="10">
        <v>35339.0</v>
      </c>
      <c r="B302" s="46"/>
      <c r="C302" s="46"/>
      <c r="D302" s="46">
        <v>-3.0</v>
      </c>
      <c r="E302" s="46">
        <v>637987.0</v>
      </c>
      <c r="F302" s="46">
        <v>5.75</v>
      </c>
      <c r="G302" s="46">
        <v>74.7</v>
      </c>
      <c r="H302" s="46">
        <v>88.06</v>
      </c>
    </row>
    <row r="303" ht="15.75" customHeight="1">
      <c r="A303" s="10">
        <v>35370.0</v>
      </c>
      <c r="B303" s="46"/>
      <c r="C303" s="46"/>
      <c r="D303" s="46">
        <v>-1.0</v>
      </c>
      <c r="E303" s="46">
        <v>648666.0</v>
      </c>
      <c r="F303" s="46">
        <v>5.75</v>
      </c>
      <c r="G303" s="46">
        <v>74.9</v>
      </c>
      <c r="H303" s="46">
        <v>86.94</v>
      </c>
    </row>
    <row r="304" ht="15.75" customHeight="1">
      <c r="A304" s="10">
        <v>35400.0</v>
      </c>
      <c r="B304" s="46"/>
      <c r="C304" s="46"/>
      <c r="D304" s="46">
        <v>-3.0</v>
      </c>
      <c r="E304" s="46">
        <v>654795.0</v>
      </c>
      <c r="F304" s="46">
        <v>6.0</v>
      </c>
      <c r="G304" s="46">
        <v>75.0</v>
      </c>
      <c r="H304" s="46">
        <v>85.95</v>
      </c>
    </row>
    <row r="305" ht="15.75" customHeight="1">
      <c r="A305" s="10">
        <v>35431.0</v>
      </c>
      <c r="B305" s="46"/>
      <c r="C305" s="46"/>
      <c r="D305" s="46">
        <v>1.0</v>
      </c>
      <c r="E305" s="46">
        <v>659599.0</v>
      </c>
      <c r="F305" s="46">
        <v>6.0</v>
      </c>
      <c r="G305" s="46">
        <v>74.4</v>
      </c>
      <c r="H305" s="46">
        <v>91.22</v>
      </c>
    </row>
    <row r="306" ht="15.75" customHeight="1">
      <c r="A306" s="10">
        <v>35462.0</v>
      </c>
      <c r="B306" s="46"/>
      <c r="C306" s="46"/>
      <c r="D306" s="46">
        <v>-4.0</v>
      </c>
      <c r="E306" s="46">
        <v>663496.0</v>
      </c>
      <c r="F306" s="46">
        <v>6.0</v>
      </c>
      <c r="G306" s="46">
        <v>74.6</v>
      </c>
      <c r="H306" s="46">
        <v>87.38</v>
      </c>
    </row>
    <row r="307" ht="15.75" customHeight="1">
      <c r="A307" s="10">
        <v>35490.0</v>
      </c>
      <c r="B307" s="46"/>
      <c r="C307" s="46"/>
      <c r="D307" s="46">
        <v>2.0</v>
      </c>
      <c r="E307" s="46">
        <v>669091.0</v>
      </c>
      <c r="F307" s="46">
        <v>6.0</v>
      </c>
      <c r="G307" s="46">
        <v>75.0</v>
      </c>
      <c r="H307" s="46">
        <v>85.14</v>
      </c>
    </row>
    <row r="308" ht="15.75" customHeight="1">
      <c r="A308" s="10">
        <v>35521.0</v>
      </c>
      <c r="B308" s="46"/>
      <c r="C308" s="46"/>
      <c r="D308" s="46">
        <v>2.0</v>
      </c>
      <c r="E308" s="46">
        <v>691673.0</v>
      </c>
      <c r="F308" s="46">
        <v>6.0</v>
      </c>
      <c r="G308" s="46">
        <v>75.3</v>
      </c>
      <c r="H308" s="46">
        <v>86.06</v>
      </c>
    </row>
    <row r="309" ht="15.75" customHeight="1">
      <c r="A309" s="10">
        <v>35551.0</v>
      </c>
      <c r="B309" s="46"/>
      <c r="C309" s="46"/>
      <c r="D309" s="46">
        <v>1.0</v>
      </c>
      <c r="E309" s="46">
        <v>697522.0</v>
      </c>
      <c r="F309" s="46">
        <v>6.0</v>
      </c>
      <c r="G309" s="46">
        <v>75.5</v>
      </c>
      <c r="H309" s="46">
        <v>89.16</v>
      </c>
    </row>
    <row r="310" ht="15.75" customHeight="1">
      <c r="A310" s="10">
        <v>35582.0</v>
      </c>
      <c r="B310" s="46"/>
      <c r="C310" s="46"/>
      <c r="D310" s="46">
        <v>-1.0</v>
      </c>
      <c r="E310" s="46">
        <v>700799.0</v>
      </c>
      <c r="F310" s="46">
        <v>6.0</v>
      </c>
      <c r="G310" s="46">
        <v>75.6</v>
      </c>
      <c r="H310" s="46">
        <v>87.29</v>
      </c>
    </row>
    <row r="311" ht="15.75" customHeight="1">
      <c r="A311" s="10">
        <v>35612.0</v>
      </c>
      <c r="B311" s="46"/>
      <c r="C311" s="46"/>
      <c r="D311" s="46">
        <v>6.0</v>
      </c>
      <c r="E311" s="46">
        <v>660550.0</v>
      </c>
      <c r="F311" s="46">
        <v>6.25</v>
      </c>
      <c r="G311" s="46">
        <v>75.2</v>
      </c>
      <c r="H311" s="46">
        <v>86.67</v>
      </c>
    </row>
    <row r="312" ht="15.75" customHeight="1">
      <c r="A312" s="10">
        <v>35643.0</v>
      </c>
      <c r="B312" s="46"/>
      <c r="C312" s="46"/>
      <c r="D312" s="46">
        <v>8.0</v>
      </c>
      <c r="E312" s="46">
        <v>680479.0</v>
      </c>
      <c r="F312" s="46">
        <v>6.5</v>
      </c>
      <c r="G312" s="46">
        <v>75.5</v>
      </c>
      <c r="H312" s="46">
        <v>84.32</v>
      </c>
    </row>
    <row r="313" ht="15.75" customHeight="1">
      <c r="A313" s="10">
        <v>35674.0</v>
      </c>
      <c r="B313" s="46"/>
      <c r="C313" s="46"/>
      <c r="D313" s="46">
        <v>8.0</v>
      </c>
      <c r="E313" s="46">
        <v>684833.0</v>
      </c>
      <c r="F313" s="46">
        <v>6.75</v>
      </c>
      <c r="G313" s="46">
        <v>76.0</v>
      </c>
      <c r="H313" s="46">
        <v>86.37</v>
      </c>
    </row>
    <row r="314" ht="15.75" customHeight="1">
      <c r="A314" s="10">
        <v>35704.0</v>
      </c>
      <c r="B314" s="46"/>
      <c r="C314" s="46"/>
      <c r="D314" s="46">
        <v>9.0</v>
      </c>
      <c r="E314" s="46">
        <v>691740.0</v>
      </c>
      <c r="F314" s="46">
        <v>7.0</v>
      </c>
      <c r="G314" s="46">
        <v>76.0</v>
      </c>
      <c r="H314" s="46">
        <v>83.42</v>
      </c>
    </row>
    <row r="315" ht="15.75" customHeight="1">
      <c r="A315" s="10">
        <v>35735.0</v>
      </c>
      <c r="B315" s="46"/>
      <c r="C315" s="46"/>
      <c r="D315" s="46">
        <v>8.0</v>
      </c>
      <c r="E315" s="46">
        <v>693137.0</v>
      </c>
      <c r="F315" s="46">
        <v>7.0</v>
      </c>
      <c r="G315" s="46">
        <v>76.3</v>
      </c>
      <c r="H315" s="46">
        <v>83.03</v>
      </c>
    </row>
    <row r="316" ht="15.75" customHeight="1">
      <c r="A316" s="10">
        <v>35765.0</v>
      </c>
      <c r="B316" s="46"/>
      <c r="C316" s="46"/>
      <c r="D316" s="46">
        <v>7.0</v>
      </c>
      <c r="E316" s="46">
        <v>696511.0</v>
      </c>
      <c r="F316" s="46">
        <v>7.0</v>
      </c>
      <c r="G316" s="46">
        <v>76.4</v>
      </c>
      <c r="H316" s="46">
        <v>80.93</v>
      </c>
    </row>
    <row r="317" ht="15.75" customHeight="1">
      <c r="A317" s="10">
        <v>35796.0</v>
      </c>
      <c r="B317" s="46"/>
      <c r="C317" s="46"/>
      <c r="D317" s="46">
        <v>2.0</v>
      </c>
      <c r="E317" s="46">
        <v>700806.0</v>
      </c>
      <c r="F317" s="46">
        <v>7.25</v>
      </c>
      <c r="G317" s="46">
        <v>75.6</v>
      </c>
      <c r="H317" s="46">
        <v>89.23</v>
      </c>
    </row>
    <row r="318" ht="15.75" customHeight="1">
      <c r="A318" s="10">
        <v>35827.0</v>
      </c>
      <c r="B318" s="46"/>
      <c r="C318" s="46"/>
      <c r="D318" s="46">
        <v>0.1</v>
      </c>
      <c r="E318" s="46">
        <v>703288.0</v>
      </c>
      <c r="F318" s="46">
        <v>7.25</v>
      </c>
      <c r="G318" s="46">
        <v>76.0</v>
      </c>
      <c r="H318" s="46">
        <v>92.73</v>
      </c>
    </row>
    <row r="319" ht="15.75" customHeight="1">
      <c r="A319" s="10">
        <v>35855.0</v>
      </c>
      <c r="B319" s="46"/>
      <c r="C319" s="46"/>
      <c r="D319" s="46">
        <v>4.0</v>
      </c>
      <c r="E319" s="46">
        <v>706428.0</v>
      </c>
      <c r="F319" s="46">
        <v>7.25</v>
      </c>
      <c r="G319" s="46">
        <v>76.3</v>
      </c>
      <c r="H319" s="46">
        <v>98.54</v>
      </c>
    </row>
    <row r="320" ht="15.75" customHeight="1">
      <c r="A320" s="10">
        <v>35886.0</v>
      </c>
      <c r="B320" s="46"/>
      <c r="C320" s="46"/>
      <c r="D320" s="46">
        <v>4.0</v>
      </c>
      <c r="E320" s="46">
        <v>708303.0</v>
      </c>
      <c r="F320" s="46">
        <v>7.25</v>
      </c>
      <c r="G320" s="46">
        <v>76.5</v>
      </c>
      <c r="H320" s="46">
        <v>97.08</v>
      </c>
    </row>
    <row r="321" ht="15.75" customHeight="1">
      <c r="A321" s="10">
        <v>35916.0</v>
      </c>
      <c r="B321" s="46"/>
      <c r="C321" s="46"/>
      <c r="D321" s="46">
        <v>2.0</v>
      </c>
      <c r="E321" s="46">
        <v>713885.0</v>
      </c>
      <c r="F321" s="46">
        <v>7.25</v>
      </c>
      <c r="G321" s="46">
        <v>76.8</v>
      </c>
      <c r="H321" s="46">
        <v>94.97</v>
      </c>
    </row>
    <row r="322" ht="15.75" customHeight="1">
      <c r="A322" s="10">
        <v>35947.0</v>
      </c>
      <c r="B322" s="46"/>
      <c r="C322" s="46"/>
      <c r="D322" s="46">
        <v>4.0</v>
      </c>
      <c r="E322" s="46">
        <v>716798.0</v>
      </c>
      <c r="F322" s="46">
        <v>7.25</v>
      </c>
      <c r="G322" s="46">
        <v>76.8</v>
      </c>
      <c r="H322" s="46">
        <v>97.88</v>
      </c>
    </row>
    <row r="323" ht="15.75" customHeight="1">
      <c r="A323" s="10">
        <v>35977.0</v>
      </c>
      <c r="B323" s="46"/>
      <c r="C323" s="46"/>
      <c r="D323" s="46">
        <v>7.0</v>
      </c>
      <c r="E323" s="46">
        <v>722612.0</v>
      </c>
      <c r="F323" s="46">
        <v>7.25</v>
      </c>
      <c r="G323" s="46">
        <v>76.2</v>
      </c>
      <c r="H323" s="46">
        <v>96.71</v>
      </c>
    </row>
    <row r="324" ht="15.75" customHeight="1">
      <c r="A324" s="10">
        <v>36008.0</v>
      </c>
      <c r="B324" s="46"/>
      <c r="C324" s="46"/>
      <c r="D324" s="46">
        <v>2.0</v>
      </c>
      <c r="E324" s="46">
        <v>725866.0</v>
      </c>
      <c r="F324" s="46">
        <v>7.5</v>
      </c>
      <c r="G324" s="46">
        <v>76.5</v>
      </c>
      <c r="H324" s="46">
        <v>100.11</v>
      </c>
    </row>
    <row r="325" ht="15.75" customHeight="1">
      <c r="A325" s="10">
        <v>36039.0</v>
      </c>
      <c r="B325" s="46"/>
      <c r="C325" s="46"/>
      <c r="D325" s="46">
        <v>-1.0</v>
      </c>
      <c r="E325" s="46">
        <v>728918.0</v>
      </c>
      <c r="F325" s="46">
        <v>7.5</v>
      </c>
      <c r="G325" s="46">
        <v>77.0</v>
      </c>
      <c r="H325" s="46">
        <v>100.87</v>
      </c>
    </row>
    <row r="326" ht="15.75" customHeight="1">
      <c r="A326" s="10">
        <v>36069.0</v>
      </c>
      <c r="B326" s="46"/>
      <c r="C326" s="46"/>
      <c r="D326" s="46">
        <v>-5.0</v>
      </c>
      <c r="E326" s="46">
        <v>732173.0</v>
      </c>
      <c r="F326" s="46">
        <v>7.5</v>
      </c>
      <c r="G326" s="46">
        <v>77.0</v>
      </c>
      <c r="H326" s="46">
        <v>95.01</v>
      </c>
    </row>
    <row r="327" ht="15.75" customHeight="1">
      <c r="A327" s="10">
        <v>36100.0</v>
      </c>
      <c r="B327" s="46"/>
      <c r="C327" s="46"/>
      <c r="D327" s="46">
        <v>-3.0</v>
      </c>
      <c r="E327" s="46">
        <v>728397.0</v>
      </c>
      <c r="F327" s="46">
        <v>7.5</v>
      </c>
      <c r="G327" s="46">
        <v>77.2</v>
      </c>
      <c r="H327" s="46">
        <v>91.42</v>
      </c>
    </row>
    <row r="328" ht="15.75" customHeight="1">
      <c r="A328" s="10">
        <v>36130.0</v>
      </c>
      <c r="B328" s="46"/>
      <c r="C328" s="46"/>
      <c r="D328" s="46">
        <v>-9.0</v>
      </c>
      <c r="E328" s="46">
        <v>730841.0</v>
      </c>
      <c r="F328" s="46">
        <v>7.25</v>
      </c>
      <c r="G328" s="46">
        <v>77.3</v>
      </c>
      <c r="H328" s="46">
        <v>84.03</v>
      </c>
    </row>
    <row r="329" ht="15.75" customHeight="1">
      <c r="A329" s="10">
        <v>36161.0</v>
      </c>
      <c r="B329" s="46"/>
      <c r="C329" s="46"/>
      <c r="D329" s="46">
        <v>-7.0</v>
      </c>
      <c r="E329" s="46">
        <v>728779.0</v>
      </c>
      <c r="F329" s="46">
        <v>6.75</v>
      </c>
      <c r="G329" s="46">
        <v>76.5</v>
      </c>
      <c r="H329" s="46">
        <v>95.16</v>
      </c>
    </row>
    <row r="330" ht="15.75" customHeight="1">
      <c r="A330" s="10">
        <v>36192.0</v>
      </c>
      <c r="B330" s="46"/>
      <c r="C330" s="46"/>
      <c r="D330" s="46">
        <v>-8.0</v>
      </c>
      <c r="E330" s="46">
        <v>734306.0</v>
      </c>
      <c r="F330" s="46">
        <v>6.25</v>
      </c>
      <c r="G330" s="46">
        <v>76.7</v>
      </c>
      <c r="H330" s="46">
        <v>96.02</v>
      </c>
    </row>
    <row r="331" ht="15.75" customHeight="1">
      <c r="A331" s="10">
        <v>36220.0</v>
      </c>
      <c r="B331" s="46"/>
      <c r="C331" s="46"/>
      <c r="D331" s="46">
        <v>-3.0</v>
      </c>
      <c r="E331" s="46">
        <v>738163.0</v>
      </c>
      <c r="F331" s="46">
        <v>6.0</v>
      </c>
      <c r="G331" s="46">
        <v>77.0</v>
      </c>
      <c r="H331" s="46">
        <v>97.3</v>
      </c>
    </row>
    <row r="332" ht="15.75" customHeight="1">
      <c r="A332" s="10">
        <v>36251.0</v>
      </c>
      <c r="B332" s="46"/>
      <c r="C332" s="46"/>
      <c r="D332" s="46">
        <v>-1.0</v>
      </c>
      <c r="E332" s="46">
        <v>742510.0</v>
      </c>
      <c r="F332" s="46">
        <v>5.5</v>
      </c>
      <c r="G332" s="46">
        <v>77.2</v>
      </c>
      <c r="H332" s="46">
        <v>94.03</v>
      </c>
    </row>
    <row r="333" ht="15.75" customHeight="1">
      <c r="A333" s="10">
        <v>36281.0</v>
      </c>
      <c r="B333" s="46"/>
      <c r="C333" s="46"/>
      <c r="D333" s="46">
        <v>1.0</v>
      </c>
      <c r="E333" s="46">
        <v>742754.0</v>
      </c>
      <c r="F333" s="46">
        <v>5.5</v>
      </c>
      <c r="G333" s="46">
        <v>77.4</v>
      </c>
      <c r="H333" s="46">
        <v>92.08</v>
      </c>
    </row>
    <row r="334" ht="15.75" customHeight="1">
      <c r="A334" s="10">
        <v>36312.0</v>
      </c>
      <c r="B334" s="46"/>
      <c r="C334" s="46"/>
      <c r="D334" s="46">
        <v>1.0</v>
      </c>
      <c r="E334" s="46">
        <v>743915.0</v>
      </c>
      <c r="F334" s="46">
        <v>5.25</v>
      </c>
      <c r="G334" s="46">
        <v>77.4</v>
      </c>
      <c r="H334" s="46">
        <v>89.6</v>
      </c>
    </row>
    <row r="335" ht="15.75" customHeight="1">
      <c r="A335" s="10">
        <v>36342.0</v>
      </c>
      <c r="B335" s="46"/>
      <c r="C335" s="46"/>
      <c r="D335" s="46">
        <v>5.0</v>
      </c>
      <c r="E335" s="46">
        <v>738257.0</v>
      </c>
      <c r="F335" s="46">
        <v>5.25</v>
      </c>
      <c r="G335" s="46">
        <v>76.8</v>
      </c>
      <c r="H335" s="46">
        <v>88.29</v>
      </c>
    </row>
    <row r="336" ht="15.75" customHeight="1">
      <c r="A336" s="10">
        <v>36373.0</v>
      </c>
      <c r="B336" s="46"/>
      <c r="C336" s="46"/>
      <c r="D336" s="46">
        <v>5.0</v>
      </c>
      <c r="E336" s="46">
        <v>741943.0</v>
      </c>
      <c r="F336" s="46">
        <v>5.0</v>
      </c>
      <c r="G336" s="46">
        <v>77.0</v>
      </c>
      <c r="H336" s="46">
        <v>94.44</v>
      </c>
    </row>
    <row r="337" ht="15.75" customHeight="1">
      <c r="A337" s="10">
        <v>36404.0</v>
      </c>
      <c r="B337" s="46"/>
      <c r="C337" s="46"/>
      <c r="D337" s="46">
        <v>2.0</v>
      </c>
      <c r="E337" s="46">
        <v>748168.0</v>
      </c>
      <c r="F337" s="46">
        <v>5.0</v>
      </c>
      <c r="G337" s="46">
        <v>77.4</v>
      </c>
      <c r="H337" s="46">
        <v>92.71</v>
      </c>
    </row>
    <row r="338" ht="15.75" customHeight="1">
      <c r="A338" s="10">
        <v>36434.0</v>
      </c>
      <c r="B338" s="46"/>
      <c r="C338" s="46"/>
      <c r="D338" s="46">
        <v>4.0</v>
      </c>
      <c r="E338" s="46">
        <v>754835.0</v>
      </c>
      <c r="F338" s="46">
        <v>5.0</v>
      </c>
      <c r="G338" s="46">
        <v>77.3</v>
      </c>
      <c r="H338" s="46">
        <v>96.26</v>
      </c>
    </row>
    <row r="339" ht="15.75" customHeight="1">
      <c r="A339" s="10">
        <v>36465.0</v>
      </c>
      <c r="B339" s="46"/>
      <c r="C339" s="46"/>
      <c r="D339" s="46">
        <v>2.0</v>
      </c>
      <c r="E339" s="46">
        <v>754859.0</v>
      </c>
      <c r="F339" s="46">
        <v>5.25</v>
      </c>
      <c r="G339" s="46">
        <v>77.5</v>
      </c>
      <c r="H339" s="46">
        <v>102.11</v>
      </c>
    </row>
    <row r="340" ht="15.75" customHeight="1">
      <c r="A340" s="10">
        <v>36495.0</v>
      </c>
      <c r="B340" s="46"/>
      <c r="C340" s="46"/>
      <c r="D340" s="46">
        <v>2.0</v>
      </c>
      <c r="E340" s="46">
        <v>762561.0</v>
      </c>
      <c r="F340" s="46">
        <v>5.25</v>
      </c>
      <c r="G340" s="46">
        <v>77.6</v>
      </c>
      <c r="H340" s="46">
        <v>100.13</v>
      </c>
    </row>
    <row r="341" ht="15.75" customHeight="1">
      <c r="A341" s="10">
        <v>36526.0</v>
      </c>
      <c r="B341" s="46"/>
      <c r="C341" s="46"/>
      <c r="D341" s="46">
        <v>-2.0</v>
      </c>
      <c r="E341" s="46">
        <v>765322.0</v>
      </c>
      <c r="F341" s="46">
        <v>5.5</v>
      </c>
      <c r="G341" s="46">
        <v>76.6</v>
      </c>
      <c r="H341" s="46">
        <v>97.7</v>
      </c>
    </row>
    <row r="342" ht="15.75" customHeight="1">
      <c r="A342" s="10">
        <v>36557.0</v>
      </c>
      <c r="B342" s="46"/>
      <c r="C342" s="46"/>
      <c r="D342" s="46">
        <v>1.0</v>
      </c>
      <c r="E342" s="46">
        <v>775589.0</v>
      </c>
      <c r="F342" s="46">
        <v>5.5</v>
      </c>
      <c r="G342" s="46">
        <v>76.9</v>
      </c>
      <c r="H342" s="46">
        <v>102.14</v>
      </c>
    </row>
    <row r="343" ht="15.75" customHeight="1">
      <c r="A343" s="10">
        <v>36586.0</v>
      </c>
      <c r="B343" s="46"/>
      <c r="C343" s="46"/>
      <c r="D343" s="46">
        <v>8.0</v>
      </c>
      <c r="E343" s="46">
        <v>786562.0</v>
      </c>
      <c r="F343" s="46">
        <v>5.75</v>
      </c>
      <c r="G343" s="46">
        <v>77.1</v>
      </c>
      <c r="H343" s="46">
        <v>103.42</v>
      </c>
    </row>
    <row r="344" ht="15.75" customHeight="1">
      <c r="A344" s="10">
        <v>36617.0</v>
      </c>
      <c r="B344" s="46"/>
      <c r="C344" s="46"/>
      <c r="D344" s="46">
        <v>2.0</v>
      </c>
      <c r="E344" s="46">
        <v>792329.0</v>
      </c>
      <c r="F344" s="46">
        <v>6.0</v>
      </c>
      <c r="G344" s="46">
        <v>77.2</v>
      </c>
      <c r="H344" s="46">
        <v>106.72</v>
      </c>
    </row>
    <row r="345" ht="15.75" customHeight="1">
      <c r="A345" s="10">
        <v>36647.0</v>
      </c>
      <c r="B345" s="46"/>
      <c r="C345" s="46"/>
      <c r="D345" s="46">
        <v>-2.0</v>
      </c>
      <c r="E345" s="46">
        <v>793260.0</v>
      </c>
      <c r="F345" s="46">
        <v>6.0</v>
      </c>
      <c r="G345" s="46">
        <v>77.4</v>
      </c>
      <c r="H345" s="46">
        <v>109.06</v>
      </c>
    </row>
    <row r="346" ht="15.75" customHeight="1">
      <c r="A346" s="10">
        <v>36678.0</v>
      </c>
      <c r="B346" s="46"/>
      <c r="C346" s="46"/>
      <c r="D346" s="46">
        <v>-4.0</v>
      </c>
      <c r="E346" s="46">
        <v>801140.0</v>
      </c>
      <c r="F346" s="46">
        <v>6.0</v>
      </c>
      <c r="G346" s="46">
        <v>77.3</v>
      </c>
      <c r="H346" s="46">
        <v>112.08</v>
      </c>
    </row>
    <row r="347" ht="15.75" customHeight="1">
      <c r="A347" s="10">
        <v>36708.0</v>
      </c>
      <c r="B347" s="46"/>
      <c r="C347" s="46"/>
      <c r="D347" s="46">
        <v>2.0</v>
      </c>
      <c r="E347" s="46">
        <v>804758.0</v>
      </c>
      <c r="F347" s="46">
        <v>6.0</v>
      </c>
      <c r="G347" s="46">
        <v>76.7</v>
      </c>
      <c r="H347" s="46">
        <v>111.31</v>
      </c>
    </row>
    <row r="348" ht="15.75" customHeight="1">
      <c r="A348" s="10">
        <v>36739.0</v>
      </c>
      <c r="B348" s="46"/>
      <c r="C348" s="46"/>
      <c r="D348" s="46">
        <v>0.1</v>
      </c>
      <c r="E348" s="46">
        <v>812410.0</v>
      </c>
      <c r="F348" s="46">
        <v>6.0</v>
      </c>
      <c r="G348" s="46">
        <v>77.0</v>
      </c>
      <c r="H348" s="46">
        <v>103.26</v>
      </c>
    </row>
    <row r="349" ht="15.75" customHeight="1">
      <c r="A349" s="10">
        <v>36770.0</v>
      </c>
      <c r="B349" s="46"/>
      <c r="C349" s="46"/>
      <c r="D349" s="46">
        <v>-3.0</v>
      </c>
      <c r="E349" s="46">
        <v>817024.0</v>
      </c>
      <c r="F349" s="46">
        <v>6.0</v>
      </c>
      <c r="G349" s="46">
        <v>77.5</v>
      </c>
      <c r="H349" s="46">
        <v>100.63</v>
      </c>
    </row>
    <row r="350" ht="15.75" customHeight="1">
      <c r="A350" s="10">
        <v>36800.0</v>
      </c>
      <c r="B350" s="46"/>
      <c r="C350" s="46"/>
      <c r="D350" s="46">
        <v>1.0</v>
      </c>
      <c r="E350" s="46">
        <v>825999.0</v>
      </c>
      <c r="F350" s="46">
        <v>6.0</v>
      </c>
      <c r="G350" s="46">
        <v>77.6</v>
      </c>
      <c r="H350" s="46">
        <v>102.53</v>
      </c>
    </row>
    <row r="351" ht="15.75" customHeight="1">
      <c r="A351" s="10">
        <v>36831.0</v>
      </c>
      <c r="B351" s="46"/>
      <c r="C351" s="46"/>
      <c r="D351" s="46">
        <v>-5.0</v>
      </c>
      <c r="E351" s="46">
        <v>835161.0</v>
      </c>
      <c r="F351" s="46">
        <v>6.0</v>
      </c>
      <c r="G351" s="46">
        <v>77.6</v>
      </c>
      <c r="H351" s="46">
        <v>109.79</v>
      </c>
    </row>
    <row r="352" ht="15.75" customHeight="1">
      <c r="A352" s="10">
        <v>36861.0</v>
      </c>
      <c r="B352" s="46"/>
      <c r="C352" s="46"/>
      <c r="D352" s="46">
        <v>0.1</v>
      </c>
      <c r="E352" s="46">
        <v>834094.0</v>
      </c>
      <c r="F352" s="46">
        <v>6.0</v>
      </c>
      <c r="G352" s="46">
        <v>77.7</v>
      </c>
      <c r="H352" s="46">
        <v>120.93</v>
      </c>
    </row>
    <row r="353" ht="15.75" customHeight="1">
      <c r="A353" s="10">
        <v>36892.0</v>
      </c>
      <c r="B353" s="46"/>
      <c r="C353" s="46"/>
      <c r="D353" s="46">
        <v>-2.0</v>
      </c>
      <c r="E353" s="46">
        <v>848242.0</v>
      </c>
      <c r="F353" s="46">
        <v>6.0</v>
      </c>
      <c r="G353" s="46">
        <v>77.0</v>
      </c>
      <c r="H353" s="46">
        <v>124.54</v>
      </c>
    </row>
    <row r="354" ht="15.75" customHeight="1">
      <c r="A354" s="10">
        <v>36923.0</v>
      </c>
      <c r="B354" s="46"/>
      <c r="C354" s="46"/>
      <c r="D354" s="46">
        <v>-1.0</v>
      </c>
      <c r="E354" s="46">
        <v>849404.0</v>
      </c>
      <c r="F354" s="46">
        <v>6.0</v>
      </c>
      <c r="G354" s="46">
        <v>77.2</v>
      </c>
      <c r="H354" s="46">
        <v>122.98</v>
      </c>
    </row>
    <row r="355" ht="15.75" customHeight="1">
      <c r="A355" s="10">
        <v>36951.0</v>
      </c>
      <c r="B355" s="46"/>
      <c r="C355" s="46"/>
      <c r="D355" s="46">
        <v>5.0</v>
      </c>
      <c r="E355" s="46">
        <v>850822.0</v>
      </c>
      <c r="F355" s="46">
        <v>6.0</v>
      </c>
      <c r="G355" s="46">
        <v>77.4</v>
      </c>
      <c r="H355" s="46">
        <v>119.9</v>
      </c>
    </row>
    <row r="356" ht="15.75" customHeight="1">
      <c r="A356" s="10">
        <v>36982.0</v>
      </c>
      <c r="B356" s="46"/>
      <c r="C356" s="46"/>
      <c r="D356" s="46">
        <v>2.0</v>
      </c>
      <c r="E356" s="46">
        <v>852742.0</v>
      </c>
      <c r="F356" s="46">
        <v>5.75</v>
      </c>
      <c r="G356" s="46">
        <v>77.9</v>
      </c>
      <c r="H356" s="46">
        <v>117.99</v>
      </c>
    </row>
    <row r="357" ht="15.75" customHeight="1">
      <c r="A357" s="10">
        <v>37012.0</v>
      </c>
      <c r="B357" s="46"/>
      <c r="C357" s="46"/>
      <c r="D357" s="46">
        <v>3.0</v>
      </c>
      <c r="E357" s="46">
        <v>864877.0</v>
      </c>
      <c r="F357" s="46">
        <v>5.75</v>
      </c>
      <c r="G357" s="46">
        <v>78.2</v>
      </c>
      <c r="H357" s="46">
        <v>116.43</v>
      </c>
    </row>
    <row r="358" ht="15.75" customHeight="1">
      <c r="A358" s="10">
        <v>37043.0</v>
      </c>
      <c r="B358" s="46"/>
      <c r="C358" s="46"/>
      <c r="D358" s="46">
        <v>1.0</v>
      </c>
      <c r="E358" s="46">
        <v>867440.0</v>
      </c>
      <c r="F358" s="46">
        <v>5.5</v>
      </c>
      <c r="G358" s="46">
        <v>78.3</v>
      </c>
      <c r="H358" s="46">
        <v>115.32</v>
      </c>
    </row>
    <row r="359" ht="15.75" customHeight="1">
      <c r="A359" s="10">
        <v>37073.0</v>
      </c>
      <c r="B359" s="46"/>
      <c r="C359" s="46"/>
      <c r="D359" s="46">
        <v>2.0</v>
      </c>
      <c r="E359" s="46">
        <v>880310.0</v>
      </c>
      <c r="F359" s="46">
        <v>5.25</v>
      </c>
      <c r="G359" s="46">
        <v>77.9</v>
      </c>
      <c r="H359" s="46">
        <v>112.62</v>
      </c>
    </row>
    <row r="360" ht="15.75" customHeight="1">
      <c r="A360" s="10">
        <v>37104.0</v>
      </c>
      <c r="B360" s="46"/>
      <c r="C360" s="46"/>
      <c r="D360" s="46">
        <v>6.0</v>
      </c>
      <c r="E360" s="46">
        <v>886297.0</v>
      </c>
      <c r="F360" s="46">
        <v>5.25</v>
      </c>
      <c r="G360" s="46">
        <v>78.3</v>
      </c>
      <c r="H360" s="46">
        <v>116.26</v>
      </c>
    </row>
    <row r="361" ht="15.75" customHeight="1">
      <c r="A361" s="10">
        <v>37135.0</v>
      </c>
      <c r="B361" s="46"/>
      <c r="C361" s="46"/>
      <c r="D361" s="46">
        <v>4.0</v>
      </c>
      <c r="E361" s="46">
        <v>887369.0</v>
      </c>
      <c r="F361" s="46">
        <v>5.25</v>
      </c>
      <c r="G361" s="46">
        <v>78.6</v>
      </c>
      <c r="H361" s="46">
        <v>120.41</v>
      </c>
    </row>
    <row r="362" ht="15.75" customHeight="1">
      <c r="A362" s="10">
        <v>37165.0</v>
      </c>
      <c r="B362" s="46"/>
      <c r="C362" s="46"/>
      <c r="D362" s="46">
        <v>0.1</v>
      </c>
      <c r="E362" s="46">
        <v>891871.0</v>
      </c>
      <c r="F362" s="46">
        <v>5.0</v>
      </c>
      <c r="G362" s="46">
        <v>78.5</v>
      </c>
      <c r="H362" s="46">
        <v>123.0</v>
      </c>
    </row>
    <row r="363" ht="15.75" customHeight="1">
      <c r="A363" s="10">
        <v>37196.0</v>
      </c>
      <c r="B363" s="46"/>
      <c r="C363" s="46"/>
      <c r="D363" s="46">
        <v>-1.0</v>
      </c>
      <c r="E363" s="46">
        <v>885796.0</v>
      </c>
      <c r="F363" s="46">
        <v>4.75</v>
      </c>
      <c r="G363" s="46">
        <v>78.5</v>
      </c>
      <c r="H363" s="46">
        <v>112.06</v>
      </c>
    </row>
    <row r="364" ht="15.75" customHeight="1">
      <c r="A364" s="10">
        <v>37226.0</v>
      </c>
      <c r="B364" s="46"/>
      <c r="C364" s="46"/>
      <c r="D364" s="46">
        <v>-6.0</v>
      </c>
      <c r="E364" s="46">
        <v>887705.0</v>
      </c>
      <c r="F364" s="46">
        <v>4.5</v>
      </c>
      <c r="G364" s="46">
        <v>78.8</v>
      </c>
      <c r="H364" s="46">
        <v>107.49</v>
      </c>
    </row>
    <row r="365" ht="15.75" customHeight="1">
      <c r="A365" s="10">
        <v>37257.0</v>
      </c>
      <c r="B365" s="46"/>
      <c r="C365" s="46"/>
      <c r="D365" s="46">
        <v>-3.0</v>
      </c>
      <c r="E365" s="46">
        <v>892400.0</v>
      </c>
      <c r="F365" s="46">
        <v>4.0</v>
      </c>
      <c r="G365" s="46">
        <v>78.2</v>
      </c>
      <c r="H365" s="46">
        <v>99.59</v>
      </c>
    </row>
    <row r="366" ht="15.75" customHeight="1">
      <c r="A366" s="10">
        <v>37288.0</v>
      </c>
      <c r="B366" s="46"/>
      <c r="C366" s="46"/>
      <c r="D366" s="46">
        <v>-1.0</v>
      </c>
      <c r="E366" s="46">
        <v>894352.0</v>
      </c>
      <c r="F366" s="46">
        <v>4.0</v>
      </c>
      <c r="G366" s="46">
        <v>78.4</v>
      </c>
      <c r="H366" s="46">
        <v>96.52</v>
      </c>
    </row>
    <row r="367" ht="15.75" customHeight="1">
      <c r="A367" s="10">
        <v>37316.0</v>
      </c>
      <c r="B367" s="46"/>
      <c r="C367" s="46"/>
      <c r="D367" s="46">
        <v>6.0</v>
      </c>
      <c r="E367" s="46">
        <v>899845.0</v>
      </c>
      <c r="F367" s="46">
        <v>4.0</v>
      </c>
      <c r="G367" s="46">
        <v>78.7</v>
      </c>
      <c r="H367" s="46">
        <v>100.43</v>
      </c>
    </row>
    <row r="368" ht="15.75" customHeight="1">
      <c r="A368" s="10">
        <v>37347.0</v>
      </c>
      <c r="B368" s="46"/>
      <c r="C368" s="46"/>
      <c r="D368" s="46">
        <v>5.0</v>
      </c>
      <c r="E368" s="46">
        <v>903220.0</v>
      </c>
      <c r="F368" s="46">
        <v>4.0</v>
      </c>
      <c r="G368" s="46">
        <v>79.0</v>
      </c>
      <c r="H368" s="46">
        <v>99.51</v>
      </c>
    </row>
    <row r="369" ht="15.75" customHeight="1">
      <c r="A369" s="10">
        <v>37377.0</v>
      </c>
      <c r="B369" s="46"/>
      <c r="C369" s="46"/>
      <c r="D369" s="46">
        <v>3.0</v>
      </c>
      <c r="E369" s="46">
        <v>909368.0</v>
      </c>
      <c r="F369" s="46">
        <v>4.0</v>
      </c>
      <c r="G369" s="46">
        <v>79.2</v>
      </c>
      <c r="H369" s="46">
        <v>106.0</v>
      </c>
    </row>
    <row r="370" ht="15.75" customHeight="1">
      <c r="A370" s="10">
        <v>37408.0</v>
      </c>
      <c r="B370" s="46"/>
      <c r="C370" s="46"/>
      <c r="D370" s="46">
        <v>4.0</v>
      </c>
      <c r="E370" s="46">
        <v>917428.0</v>
      </c>
      <c r="F370" s="46">
        <v>4.0</v>
      </c>
      <c r="G370" s="46">
        <v>79.3</v>
      </c>
      <c r="H370" s="46">
        <v>113.81</v>
      </c>
    </row>
    <row r="371" ht="15.75" customHeight="1">
      <c r="A371" s="10">
        <v>37438.0</v>
      </c>
      <c r="B371" s="46"/>
      <c r="C371" s="46"/>
      <c r="D371" s="46">
        <v>6.0</v>
      </c>
      <c r="E371" s="46">
        <v>917395.0</v>
      </c>
      <c r="F371" s="46">
        <v>4.0</v>
      </c>
      <c r="G371" s="46">
        <v>79.0</v>
      </c>
      <c r="H371" s="46">
        <v>121.86</v>
      </c>
    </row>
    <row r="372" ht="15.75" customHeight="1">
      <c r="A372" s="10">
        <v>37469.0</v>
      </c>
      <c r="B372" s="46"/>
      <c r="C372" s="46"/>
      <c r="D372" s="46">
        <v>6.0</v>
      </c>
      <c r="E372" s="46">
        <v>926990.0</v>
      </c>
      <c r="F372" s="46">
        <v>4.0</v>
      </c>
      <c r="G372" s="46">
        <v>79.4</v>
      </c>
      <c r="H372" s="46">
        <v>129.44</v>
      </c>
    </row>
    <row r="373" ht="15.75" customHeight="1">
      <c r="A373" s="10">
        <v>37500.0</v>
      </c>
      <c r="B373" s="46"/>
      <c r="C373" s="46"/>
      <c r="D373" s="46">
        <v>2.0</v>
      </c>
      <c r="E373" s="46">
        <v>930374.0</v>
      </c>
      <c r="F373" s="46">
        <v>4.0</v>
      </c>
      <c r="G373" s="46">
        <v>79.5</v>
      </c>
      <c r="H373" s="46">
        <v>129.16</v>
      </c>
    </row>
    <row r="374" ht="15.75" customHeight="1">
      <c r="A374" s="10">
        <v>37530.0</v>
      </c>
      <c r="B374" s="46"/>
      <c r="C374" s="46"/>
      <c r="D374" s="46">
        <v>2.0</v>
      </c>
      <c r="E374" s="46">
        <v>932609.0</v>
      </c>
      <c r="F374" s="46">
        <v>4.0</v>
      </c>
      <c r="G374" s="46">
        <v>79.7</v>
      </c>
      <c r="H374" s="46">
        <v>135.58</v>
      </c>
    </row>
    <row r="375" ht="15.75" customHeight="1">
      <c r="A375" s="10">
        <v>37561.0</v>
      </c>
      <c r="B375" s="46"/>
      <c r="C375" s="46"/>
      <c r="D375" s="46">
        <v>4.0</v>
      </c>
      <c r="E375" s="46">
        <v>932145.0</v>
      </c>
      <c r="F375" s="46">
        <v>4.0</v>
      </c>
      <c r="G375" s="46">
        <v>79.8</v>
      </c>
      <c r="H375" s="46">
        <v>133.01</v>
      </c>
    </row>
    <row r="376" ht="15.75" customHeight="1">
      <c r="A376" s="10">
        <v>37591.0</v>
      </c>
      <c r="B376" s="46"/>
      <c r="C376" s="46"/>
      <c r="D376" s="46">
        <v>1.0</v>
      </c>
      <c r="E376" s="46">
        <v>943614.0</v>
      </c>
      <c r="F376" s="46">
        <v>4.0</v>
      </c>
      <c r="G376" s="46">
        <v>80.2</v>
      </c>
      <c r="H376" s="46">
        <v>127.08</v>
      </c>
    </row>
    <row r="377" ht="15.75" customHeight="1">
      <c r="A377" s="10">
        <v>37622.0</v>
      </c>
      <c r="B377" s="46"/>
      <c r="C377" s="46"/>
      <c r="D377" s="46">
        <v>2.0</v>
      </c>
      <c r="E377" s="46">
        <v>940090.0</v>
      </c>
      <c r="F377" s="46">
        <v>4.0</v>
      </c>
      <c r="G377" s="46">
        <v>79.4</v>
      </c>
      <c r="H377" s="46">
        <v>125.5</v>
      </c>
    </row>
    <row r="378" ht="15.75" customHeight="1">
      <c r="A378" s="10">
        <v>37653.0</v>
      </c>
      <c r="B378" s="46"/>
      <c r="C378" s="46"/>
      <c r="D378" s="46">
        <v>-4.0</v>
      </c>
      <c r="E378" s="46">
        <v>947647.0</v>
      </c>
      <c r="F378" s="46">
        <v>4.0</v>
      </c>
      <c r="G378" s="46">
        <v>79.7</v>
      </c>
      <c r="H378" s="46">
        <v>122.52</v>
      </c>
    </row>
    <row r="379" ht="15.75" customHeight="1">
      <c r="A379" s="10">
        <v>37681.0</v>
      </c>
      <c r="B379" s="46"/>
      <c r="C379" s="46"/>
      <c r="D379" s="46">
        <v>-3.0</v>
      </c>
      <c r="E379" s="46">
        <v>950651.0</v>
      </c>
      <c r="F379" s="46">
        <v>4.0</v>
      </c>
      <c r="G379" s="46">
        <v>79.9</v>
      </c>
      <c r="H379" s="46">
        <v>119.84</v>
      </c>
    </row>
    <row r="380" ht="15.75" customHeight="1">
      <c r="A380" s="10">
        <v>37712.0</v>
      </c>
      <c r="B380" s="46"/>
      <c r="C380" s="46"/>
      <c r="D380" s="46">
        <v>-9.0</v>
      </c>
      <c r="E380" s="46">
        <v>958412.0</v>
      </c>
      <c r="F380" s="46">
        <v>3.75</v>
      </c>
      <c r="G380" s="46">
        <v>80.2</v>
      </c>
      <c r="H380" s="46">
        <v>121.2</v>
      </c>
    </row>
    <row r="381" ht="15.75" customHeight="1">
      <c r="A381" s="10">
        <v>37742.0</v>
      </c>
      <c r="B381" s="46"/>
      <c r="C381" s="46"/>
      <c r="D381" s="46">
        <v>-10.0</v>
      </c>
      <c r="E381" s="46">
        <v>963651.0</v>
      </c>
      <c r="F381" s="46">
        <v>3.75</v>
      </c>
      <c r="G381" s="46">
        <v>80.2</v>
      </c>
      <c r="H381" s="46">
        <v>110.07</v>
      </c>
    </row>
    <row r="382" ht="15.75" customHeight="1">
      <c r="A382" s="10">
        <v>37773.0</v>
      </c>
      <c r="B382" s="46"/>
      <c r="C382" s="46"/>
      <c r="D382" s="46">
        <v>-5.0</v>
      </c>
      <c r="E382" s="46">
        <v>969099.0</v>
      </c>
      <c r="F382" s="46">
        <v>3.75</v>
      </c>
      <c r="G382" s="46">
        <v>80.1</v>
      </c>
      <c r="H382" s="46">
        <v>99.66</v>
      </c>
    </row>
    <row r="383" ht="15.75" customHeight="1">
      <c r="A383" s="10">
        <v>37803.0</v>
      </c>
      <c r="B383" s="46"/>
      <c r="C383" s="46"/>
      <c r="D383" s="46">
        <v>-3.0</v>
      </c>
      <c r="E383" s="46">
        <v>971896.0</v>
      </c>
      <c r="F383" s="46">
        <v>3.75</v>
      </c>
      <c r="G383" s="46">
        <v>80.0</v>
      </c>
      <c r="H383" s="46">
        <v>93.03</v>
      </c>
    </row>
    <row r="384" ht="15.75" customHeight="1">
      <c r="A384" s="10">
        <v>37834.0</v>
      </c>
      <c r="B384" s="46"/>
      <c r="C384" s="46"/>
      <c r="D384" s="46">
        <v>-2.0</v>
      </c>
      <c r="E384" s="46">
        <v>978104.0</v>
      </c>
      <c r="F384" s="46">
        <v>3.75</v>
      </c>
      <c r="G384" s="46">
        <v>80.3</v>
      </c>
      <c r="H384" s="46">
        <v>86.44</v>
      </c>
    </row>
    <row r="385" ht="15.75" customHeight="1">
      <c r="A385" s="10">
        <v>37865.0</v>
      </c>
      <c r="B385" s="46"/>
      <c r="C385" s="46"/>
      <c r="D385" s="46">
        <v>-1.0</v>
      </c>
      <c r="E385" s="46">
        <v>988475.0</v>
      </c>
      <c r="F385" s="46">
        <v>3.5</v>
      </c>
      <c r="G385" s="46">
        <v>80.5</v>
      </c>
      <c r="H385" s="46">
        <v>85.93</v>
      </c>
    </row>
    <row r="386" ht="15.75" customHeight="1">
      <c r="A386" s="10">
        <v>37895.0</v>
      </c>
      <c r="B386" s="46"/>
      <c r="C386" s="46"/>
      <c r="D386" s="46">
        <v>-3.0</v>
      </c>
      <c r="E386" s="46">
        <v>998191.0</v>
      </c>
      <c r="F386" s="46">
        <v>3.5</v>
      </c>
      <c r="G386" s="46">
        <v>80.7</v>
      </c>
      <c r="H386" s="46">
        <v>76.98</v>
      </c>
    </row>
    <row r="387" ht="15.75" customHeight="1">
      <c r="A387" s="10">
        <v>37926.0</v>
      </c>
      <c r="B387" s="46"/>
      <c r="C387" s="46"/>
      <c r="D387" s="46">
        <v>-3.0</v>
      </c>
      <c r="E387" s="46">
        <v>1006924.0</v>
      </c>
      <c r="F387" s="46">
        <v>3.5</v>
      </c>
      <c r="G387" s="46">
        <v>80.6</v>
      </c>
      <c r="H387" s="46">
        <v>82.63</v>
      </c>
    </row>
    <row r="388" ht="15.75" customHeight="1">
      <c r="A388" s="10">
        <v>37956.0</v>
      </c>
      <c r="B388" s="46"/>
      <c r="C388" s="46"/>
      <c r="D388" s="46">
        <v>-3.0</v>
      </c>
      <c r="E388" s="46">
        <v>1014146.0</v>
      </c>
      <c r="F388" s="46">
        <v>3.5</v>
      </c>
      <c r="G388" s="46">
        <v>80.9</v>
      </c>
      <c r="H388" s="46">
        <v>81.86</v>
      </c>
    </row>
    <row r="389" ht="15.75" customHeight="1">
      <c r="A389" s="10">
        <v>37987.0</v>
      </c>
      <c r="B389" s="46"/>
      <c r="C389" s="46"/>
      <c r="D389" s="46">
        <v>-6.0</v>
      </c>
      <c r="E389" s="46">
        <v>1020211.0</v>
      </c>
      <c r="F389" s="46">
        <v>3.75</v>
      </c>
      <c r="G389" s="46">
        <v>80.4</v>
      </c>
      <c r="H389" s="46">
        <v>85.55</v>
      </c>
    </row>
    <row r="390" ht="15.75" customHeight="1">
      <c r="A390" s="10">
        <v>38018.0</v>
      </c>
      <c r="B390" s="46"/>
      <c r="C390" s="46"/>
      <c r="D390" s="46">
        <v>-5.0</v>
      </c>
      <c r="E390" s="46">
        <v>1029119.0</v>
      </c>
      <c r="F390" s="46">
        <v>3.75</v>
      </c>
      <c r="G390" s="46">
        <v>80.5</v>
      </c>
      <c r="H390" s="46">
        <v>91.94</v>
      </c>
    </row>
    <row r="391" ht="15.75" customHeight="1">
      <c r="A391" s="10">
        <v>38047.0</v>
      </c>
      <c r="B391" s="46"/>
      <c r="C391" s="46"/>
      <c r="D391" s="46">
        <v>0.1</v>
      </c>
      <c r="E391" s="46">
        <v>1032750.0</v>
      </c>
      <c r="F391" s="46">
        <v>3.75</v>
      </c>
      <c r="G391" s="46">
        <v>80.7</v>
      </c>
      <c r="H391" s="46">
        <v>96.69</v>
      </c>
    </row>
    <row r="392" ht="15.75" customHeight="1">
      <c r="A392" s="10">
        <v>38078.0</v>
      </c>
      <c r="B392" s="46"/>
      <c r="C392" s="46"/>
      <c r="D392" s="46">
        <v>-2.0</v>
      </c>
      <c r="E392" s="46">
        <v>1047633.0</v>
      </c>
      <c r="F392" s="46">
        <v>4.0</v>
      </c>
      <c r="G392" s="46">
        <v>80.9</v>
      </c>
      <c r="H392" s="46">
        <v>93.51</v>
      </c>
    </row>
    <row r="393" ht="15.75" customHeight="1">
      <c r="A393" s="10">
        <v>38108.0</v>
      </c>
      <c r="B393" s="46"/>
      <c r="C393" s="46"/>
      <c r="D393" s="46">
        <v>-3.0</v>
      </c>
      <c r="E393" s="46">
        <v>1052697.0</v>
      </c>
      <c r="F393" s="46">
        <v>4.0</v>
      </c>
      <c r="G393" s="46">
        <v>81.1</v>
      </c>
      <c r="H393" s="46">
        <v>94.88</v>
      </c>
    </row>
    <row r="394" ht="15.75" customHeight="1">
      <c r="A394" s="10">
        <v>38139.0</v>
      </c>
      <c r="B394" s="46"/>
      <c r="C394" s="46"/>
      <c r="D394" s="46">
        <v>-2.0</v>
      </c>
      <c r="E394" s="46">
        <v>1065310.0</v>
      </c>
      <c r="F394" s="46">
        <v>4.0</v>
      </c>
      <c r="G394" s="46">
        <v>81.1</v>
      </c>
      <c r="H394" s="46">
        <v>97.04</v>
      </c>
    </row>
    <row r="395" ht="15.75" customHeight="1">
      <c r="A395" s="10">
        <v>38169.0</v>
      </c>
      <c r="B395" s="46"/>
      <c r="C395" s="46"/>
      <c r="D395" s="46">
        <v>-2.0</v>
      </c>
      <c r="E395" s="46">
        <v>1073353.0</v>
      </c>
      <c r="F395" s="46">
        <v>4.25</v>
      </c>
      <c r="G395" s="46">
        <v>81.0</v>
      </c>
      <c r="H395" s="46">
        <v>103.73</v>
      </c>
    </row>
    <row r="396" ht="15.75" customHeight="1">
      <c r="A396" s="10">
        <v>38200.0</v>
      </c>
      <c r="B396" s="46"/>
      <c r="C396" s="46"/>
      <c r="D396" s="46">
        <v>-4.0</v>
      </c>
      <c r="E396" s="46">
        <v>1081670.0</v>
      </c>
      <c r="F396" s="46">
        <v>4.5</v>
      </c>
      <c r="G396" s="46">
        <v>81.2</v>
      </c>
      <c r="H396" s="46">
        <v>103.78</v>
      </c>
    </row>
    <row r="397" ht="15.75" customHeight="1">
      <c r="A397" s="10">
        <v>38231.0</v>
      </c>
      <c r="B397" s="46"/>
      <c r="C397" s="46"/>
      <c r="D397" s="46">
        <v>-3.0</v>
      </c>
      <c r="E397" s="46">
        <v>1092910.0</v>
      </c>
      <c r="F397" s="46">
        <v>4.5</v>
      </c>
      <c r="G397" s="46">
        <v>81.2</v>
      </c>
      <c r="H397" s="46">
        <v>111.62</v>
      </c>
    </row>
    <row r="398" ht="15.75" customHeight="1">
      <c r="A398" s="10">
        <v>38261.0</v>
      </c>
      <c r="B398" s="46"/>
      <c r="C398" s="46"/>
      <c r="D398" s="46">
        <v>-5.0</v>
      </c>
      <c r="E398" s="46">
        <v>1097905.0</v>
      </c>
      <c r="F398" s="46">
        <v>4.75</v>
      </c>
      <c r="G398" s="46">
        <v>81.4</v>
      </c>
      <c r="H398" s="46">
        <v>115.02</v>
      </c>
    </row>
    <row r="399" ht="15.75" customHeight="1">
      <c r="A399" s="10">
        <v>38292.0</v>
      </c>
      <c r="B399" s="46"/>
      <c r="C399" s="46"/>
      <c r="D399" s="46">
        <v>-7.0</v>
      </c>
      <c r="E399" s="46">
        <v>1109820.0</v>
      </c>
      <c r="F399" s="46">
        <v>4.75</v>
      </c>
      <c r="G399" s="46">
        <v>81.5</v>
      </c>
      <c r="H399" s="46">
        <v>123.28</v>
      </c>
    </row>
    <row r="400" ht="15.75" customHeight="1">
      <c r="A400" s="10">
        <v>38322.0</v>
      </c>
      <c r="B400" s="46"/>
      <c r="C400" s="46"/>
      <c r="D400" s="46">
        <v>-6.0</v>
      </c>
      <c r="E400" s="46">
        <v>1113865.0</v>
      </c>
      <c r="F400" s="46">
        <v>4.75</v>
      </c>
      <c r="G400" s="46">
        <v>82.0</v>
      </c>
      <c r="H400" s="46">
        <v>119.26</v>
      </c>
    </row>
    <row r="401" ht="15.75" customHeight="1">
      <c r="A401" s="10">
        <v>38353.0</v>
      </c>
      <c r="B401" s="46"/>
      <c r="C401" s="46"/>
      <c r="D401" s="46">
        <v>-4.0</v>
      </c>
      <c r="E401" s="46">
        <v>1126696.0</v>
      </c>
      <c r="F401" s="46">
        <v>4.75</v>
      </c>
      <c r="G401" s="46">
        <v>81.4</v>
      </c>
      <c r="H401" s="46">
        <v>112.59</v>
      </c>
    </row>
    <row r="402" ht="15.75" customHeight="1">
      <c r="A402" s="10">
        <v>38384.0</v>
      </c>
      <c r="B402" s="46"/>
      <c r="C402" s="46"/>
      <c r="D402" s="46">
        <v>-3.0</v>
      </c>
      <c r="E402" s="46">
        <v>1140674.0</v>
      </c>
      <c r="F402" s="46">
        <v>4.75</v>
      </c>
      <c r="G402" s="46">
        <v>81.5</v>
      </c>
      <c r="H402" s="46">
        <v>115.68</v>
      </c>
    </row>
    <row r="403" ht="15.75" customHeight="1">
      <c r="A403" s="10">
        <v>38412.0</v>
      </c>
      <c r="B403" s="46"/>
      <c r="C403" s="46"/>
      <c r="D403" s="46">
        <v>1.0</v>
      </c>
      <c r="E403" s="46">
        <v>1156674.0</v>
      </c>
      <c r="F403" s="46">
        <v>4.75</v>
      </c>
      <c r="G403" s="46">
        <v>81.8</v>
      </c>
      <c r="H403" s="46">
        <v>109.6</v>
      </c>
    </row>
    <row r="404" ht="15.75" customHeight="1">
      <c r="A404" s="10">
        <v>38443.0</v>
      </c>
      <c r="B404" s="46"/>
      <c r="C404" s="46"/>
      <c r="D404" s="46">
        <v>0.1</v>
      </c>
      <c r="E404" s="46">
        <v>1163765.0</v>
      </c>
      <c r="F404" s="46">
        <v>4.75</v>
      </c>
      <c r="G404" s="46">
        <v>82.1</v>
      </c>
      <c r="H404" s="46">
        <v>115.03</v>
      </c>
    </row>
    <row r="405" ht="15.75" customHeight="1">
      <c r="A405" s="10">
        <v>38473.0</v>
      </c>
      <c r="B405" s="46"/>
      <c r="C405" s="46"/>
      <c r="D405" s="46">
        <v>1.0</v>
      </c>
      <c r="E405" s="46">
        <v>1177339.0</v>
      </c>
      <c r="F405" s="46">
        <v>4.75</v>
      </c>
      <c r="G405" s="46">
        <v>82.3</v>
      </c>
      <c r="H405" s="46">
        <v>118.46</v>
      </c>
    </row>
    <row r="406" ht="15.75" customHeight="1">
      <c r="A406" s="10">
        <v>38504.0</v>
      </c>
      <c r="B406" s="46"/>
      <c r="C406" s="46"/>
      <c r="D406" s="46">
        <v>0.1</v>
      </c>
      <c r="E406" s="46">
        <v>1174206.0</v>
      </c>
      <c r="F406" s="46">
        <v>4.75</v>
      </c>
      <c r="G406" s="46">
        <v>82.4</v>
      </c>
      <c r="H406" s="46">
        <v>118.36</v>
      </c>
    </row>
    <row r="407" ht="15.75" customHeight="1">
      <c r="A407" s="10">
        <v>38534.0</v>
      </c>
      <c r="B407" s="46"/>
      <c r="C407" s="46"/>
      <c r="D407" s="46">
        <v>-1.0</v>
      </c>
      <c r="E407" s="46">
        <v>1192849.0</v>
      </c>
      <c r="F407" s="46">
        <v>4.75</v>
      </c>
      <c r="G407" s="46">
        <v>82.4</v>
      </c>
      <c r="H407" s="46">
        <v>118.87</v>
      </c>
    </row>
    <row r="408" ht="15.75" customHeight="1">
      <c r="A408" s="10">
        <v>38565.0</v>
      </c>
      <c r="B408" s="46"/>
      <c r="C408" s="46"/>
      <c r="D408" s="46">
        <v>-3.0</v>
      </c>
      <c r="E408" s="46">
        <v>1201894.0</v>
      </c>
      <c r="F408" s="46">
        <v>4.75</v>
      </c>
      <c r="G408" s="46">
        <v>82.7</v>
      </c>
      <c r="H408" s="46">
        <v>123.44</v>
      </c>
    </row>
    <row r="409" ht="15.75" customHeight="1">
      <c r="A409" s="10">
        <v>38596.0</v>
      </c>
      <c r="B409" s="46"/>
      <c r="C409" s="46"/>
      <c r="D409" s="46">
        <v>-1.0</v>
      </c>
      <c r="E409" s="46">
        <v>1212899.0</v>
      </c>
      <c r="F409" s="46">
        <v>4.75</v>
      </c>
      <c r="G409" s="46">
        <v>82.6</v>
      </c>
      <c r="H409" s="46">
        <v>127.21</v>
      </c>
    </row>
    <row r="410" ht="15.75" customHeight="1">
      <c r="A410" s="10">
        <v>38626.0</v>
      </c>
      <c r="B410" s="46"/>
      <c r="C410" s="46"/>
      <c r="D410" s="46">
        <v>-4.0</v>
      </c>
      <c r="E410" s="46">
        <v>1226039.0</v>
      </c>
      <c r="F410" s="46">
        <v>4.5</v>
      </c>
      <c r="G410" s="46">
        <v>82.7</v>
      </c>
      <c r="H410" s="46">
        <v>130.0</v>
      </c>
    </row>
    <row r="411" ht="15.75" customHeight="1">
      <c r="A411" s="10">
        <v>38657.0</v>
      </c>
      <c r="B411" s="46"/>
      <c r="C411" s="46"/>
      <c r="D411" s="46">
        <v>-5.0</v>
      </c>
      <c r="E411" s="46">
        <v>1233281.0</v>
      </c>
      <c r="F411" s="46">
        <v>4.5</v>
      </c>
      <c r="G411" s="46">
        <v>82.7</v>
      </c>
      <c r="H411" s="46">
        <v>119.41</v>
      </c>
    </row>
    <row r="412" ht="15.75" customHeight="1">
      <c r="A412" s="10">
        <v>38687.0</v>
      </c>
      <c r="B412" s="46"/>
      <c r="C412" s="46"/>
      <c r="D412" s="46">
        <v>-8.0</v>
      </c>
      <c r="E412" s="46">
        <v>1252081.0</v>
      </c>
      <c r="F412" s="46">
        <v>4.5</v>
      </c>
      <c r="G412" s="46">
        <v>83.0</v>
      </c>
      <c r="H412" s="46">
        <v>119.94</v>
      </c>
    </row>
    <row r="413" ht="15.75" customHeight="1">
      <c r="A413" s="10">
        <v>38718.0</v>
      </c>
      <c r="B413" s="46"/>
      <c r="C413" s="46"/>
      <c r="D413" s="46">
        <v>-8.0</v>
      </c>
      <c r="E413" s="46">
        <v>1261634.0</v>
      </c>
      <c r="F413" s="46">
        <v>4.5</v>
      </c>
      <c r="G413" s="46">
        <v>82.4</v>
      </c>
      <c r="H413" s="46">
        <v>117.06</v>
      </c>
    </row>
    <row r="414" ht="15.75" customHeight="1">
      <c r="A414" s="10">
        <v>38749.0</v>
      </c>
      <c r="B414" s="46"/>
      <c r="C414" s="46"/>
      <c r="D414" s="46">
        <v>-9.0</v>
      </c>
      <c r="E414" s="46">
        <v>1275727.0</v>
      </c>
      <c r="F414" s="46">
        <v>4.5</v>
      </c>
      <c r="G414" s="46">
        <v>82.6</v>
      </c>
      <c r="H414" s="46">
        <v>113.61</v>
      </c>
    </row>
    <row r="415" ht="15.75" customHeight="1">
      <c r="A415" s="10">
        <v>38777.0</v>
      </c>
      <c r="B415" s="46"/>
      <c r="C415" s="46"/>
      <c r="D415" s="46">
        <v>-3.0</v>
      </c>
      <c r="E415" s="46">
        <v>1279933.0</v>
      </c>
      <c r="F415" s="46">
        <v>4.5</v>
      </c>
      <c r="G415" s="46">
        <v>82.8</v>
      </c>
      <c r="H415" s="46">
        <v>108.79</v>
      </c>
    </row>
    <row r="416" ht="15.75" customHeight="1">
      <c r="A416" s="10">
        <v>38808.0</v>
      </c>
      <c r="B416" s="46"/>
      <c r="C416" s="46"/>
      <c r="D416" s="46">
        <v>-4.0</v>
      </c>
      <c r="E416" s="46">
        <v>1297889.0</v>
      </c>
      <c r="F416" s="46">
        <v>4.5</v>
      </c>
      <c r="G416" s="46">
        <v>83.1</v>
      </c>
      <c r="H416" s="46">
        <v>113.33</v>
      </c>
    </row>
    <row r="417" ht="15.75" customHeight="1">
      <c r="A417" s="10">
        <v>38838.0</v>
      </c>
      <c r="B417" s="46"/>
      <c r="C417" s="46"/>
      <c r="D417" s="46">
        <v>-7.0</v>
      </c>
      <c r="E417" s="46">
        <v>1310900.0</v>
      </c>
      <c r="F417" s="46">
        <v>4.5</v>
      </c>
      <c r="G417" s="46">
        <v>83.286</v>
      </c>
      <c r="H417" s="46">
        <v>114.21</v>
      </c>
    </row>
    <row r="418" ht="15.75" customHeight="1">
      <c r="A418" s="10">
        <v>38869.0</v>
      </c>
      <c r="B418" s="46"/>
      <c r="C418" s="46"/>
      <c r="D418" s="46">
        <v>-4.0</v>
      </c>
      <c r="E418" s="46">
        <v>1322864.0</v>
      </c>
      <c r="F418" s="46">
        <v>4.5</v>
      </c>
      <c r="G418" s="46">
        <v>83.4</v>
      </c>
      <c r="H418" s="46">
        <v>112.35</v>
      </c>
    </row>
    <row r="419" ht="15.75" customHeight="1">
      <c r="A419" s="10">
        <v>38899.0</v>
      </c>
      <c r="B419" s="46"/>
      <c r="C419" s="46"/>
      <c r="D419" s="46">
        <v>-5.0</v>
      </c>
      <c r="E419" s="46">
        <v>1339775.0</v>
      </c>
      <c r="F419" s="46">
        <v>4.5</v>
      </c>
      <c r="G419" s="46">
        <v>83.2</v>
      </c>
      <c r="H419" s="46">
        <v>107.69</v>
      </c>
    </row>
    <row r="420" ht="15.75" customHeight="1">
      <c r="A420" s="10">
        <v>38930.0</v>
      </c>
      <c r="B420" s="46"/>
      <c r="C420" s="46"/>
      <c r="D420" s="46">
        <v>-4.0</v>
      </c>
      <c r="E420" s="46">
        <v>1362039.0</v>
      </c>
      <c r="F420" s="46">
        <v>4.5</v>
      </c>
      <c r="G420" s="46">
        <v>83.5</v>
      </c>
      <c r="H420" s="46">
        <v>99.22</v>
      </c>
    </row>
    <row r="421" ht="15.75" customHeight="1">
      <c r="A421" s="10">
        <v>38961.0</v>
      </c>
      <c r="B421" s="46"/>
      <c r="C421" s="46"/>
      <c r="D421" s="46">
        <v>-4.0</v>
      </c>
      <c r="E421" s="46">
        <v>1373025.0</v>
      </c>
      <c r="F421" s="46">
        <v>4.5</v>
      </c>
      <c r="G421" s="46">
        <v>83.8</v>
      </c>
      <c r="H421" s="46">
        <v>87.85</v>
      </c>
    </row>
    <row r="422" ht="15.75" customHeight="1">
      <c r="A422" s="10">
        <v>38991.0</v>
      </c>
      <c r="B422" s="46"/>
      <c r="C422" s="46"/>
      <c r="D422" s="46">
        <v>-8.0</v>
      </c>
      <c r="E422" s="46">
        <v>1398411.0</v>
      </c>
      <c r="F422" s="46">
        <v>4.75</v>
      </c>
      <c r="G422" s="46">
        <v>83.9</v>
      </c>
      <c r="H422" s="46">
        <v>80.95</v>
      </c>
    </row>
    <row r="423" ht="15.75" customHeight="1">
      <c r="A423" s="10">
        <v>39022.0</v>
      </c>
      <c r="B423" s="46"/>
      <c r="C423" s="46"/>
      <c r="D423" s="46">
        <v>-7.0</v>
      </c>
      <c r="E423" s="46">
        <v>1401567.0</v>
      </c>
      <c r="F423" s="46">
        <v>4.75</v>
      </c>
      <c r="G423" s="46">
        <v>84.1</v>
      </c>
      <c r="H423" s="46">
        <v>75.22</v>
      </c>
    </row>
    <row r="424" ht="15.75" customHeight="1">
      <c r="A424" s="10">
        <v>39052.0</v>
      </c>
      <c r="B424" s="46"/>
      <c r="C424" s="46"/>
      <c r="D424" s="46">
        <v>-5.0</v>
      </c>
      <c r="E424" s="46">
        <v>1419993.0</v>
      </c>
      <c r="F424" s="46">
        <v>4.75</v>
      </c>
      <c r="G424" s="46">
        <v>84.5</v>
      </c>
      <c r="H424" s="46">
        <v>74.0</v>
      </c>
    </row>
    <row r="425" ht="15.75" customHeight="1">
      <c r="A425" s="10">
        <v>39083.0</v>
      </c>
      <c r="B425" s="46"/>
      <c r="C425" s="46"/>
      <c r="D425" s="46">
        <v>-7.0</v>
      </c>
      <c r="E425" s="46">
        <v>1441262.0</v>
      </c>
      <c r="F425" s="46">
        <v>5.0</v>
      </c>
      <c r="G425" s="46">
        <v>83.8</v>
      </c>
      <c r="H425" s="46">
        <v>73.0</v>
      </c>
    </row>
    <row r="426" ht="15.75" customHeight="1">
      <c r="A426" s="10">
        <v>39114.0</v>
      </c>
      <c r="B426" s="46"/>
      <c r="C426" s="46"/>
      <c r="D426" s="46">
        <v>-8.0</v>
      </c>
      <c r="E426" s="46">
        <v>1458707.0</v>
      </c>
      <c r="F426" s="46">
        <v>5.0</v>
      </c>
      <c r="G426" s="46">
        <v>84.1</v>
      </c>
      <c r="H426" s="46">
        <v>64.0</v>
      </c>
    </row>
    <row r="427" ht="15.75" customHeight="1">
      <c r="A427" s="10">
        <v>39142.0</v>
      </c>
      <c r="B427" s="46"/>
      <c r="C427" s="46"/>
      <c r="D427" s="46">
        <v>-7.0</v>
      </c>
      <c r="E427" s="46">
        <v>1480863.0</v>
      </c>
      <c r="F427" s="46">
        <v>5.25</v>
      </c>
      <c r="G427" s="46">
        <v>84.4</v>
      </c>
      <c r="H427" s="46">
        <v>58.0</v>
      </c>
    </row>
    <row r="428" ht="15.75" customHeight="1">
      <c r="A428" s="10">
        <v>39173.0</v>
      </c>
      <c r="B428" s="46"/>
      <c r="C428" s="46">
        <v>57.4</v>
      </c>
      <c r="D428" s="46">
        <v>-8.0</v>
      </c>
      <c r="E428" s="46">
        <v>1498045.0</v>
      </c>
      <c r="F428" s="46">
        <v>5.25</v>
      </c>
      <c r="G428" s="46">
        <v>84.6</v>
      </c>
      <c r="H428" s="46">
        <v>42.0</v>
      </c>
    </row>
    <row r="429" ht="15.75" customHeight="1">
      <c r="A429" s="10">
        <v>39203.0</v>
      </c>
      <c r="B429" s="46"/>
      <c r="C429" s="46">
        <v>57.6</v>
      </c>
      <c r="D429" s="46">
        <v>-8.0</v>
      </c>
      <c r="E429" s="46">
        <v>1513516.0</v>
      </c>
      <c r="F429" s="46">
        <v>5.25</v>
      </c>
      <c r="G429" s="46">
        <v>84.8</v>
      </c>
      <c r="H429" s="46">
        <v>36.0</v>
      </c>
    </row>
    <row r="430" ht="15.75" customHeight="1">
      <c r="A430" s="10">
        <v>39234.0</v>
      </c>
      <c r="B430" s="46"/>
      <c r="C430" s="46">
        <v>57.2</v>
      </c>
      <c r="D430" s="46">
        <v>-6.0</v>
      </c>
      <c r="E430" s="46">
        <v>1540227.0</v>
      </c>
      <c r="F430" s="46">
        <v>5.25</v>
      </c>
      <c r="G430" s="46">
        <v>85.0</v>
      </c>
      <c r="H430" s="46">
        <v>33.0</v>
      </c>
    </row>
    <row r="431" ht="15.75" customHeight="1">
      <c r="A431" s="10">
        <v>39264.0</v>
      </c>
      <c r="B431" s="46"/>
      <c r="C431" s="46">
        <v>57.2</v>
      </c>
      <c r="D431" s="46">
        <v>-2.0</v>
      </c>
      <c r="E431" s="46">
        <v>1538398.0</v>
      </c>
      <c r="F431" s="46">
        <v>5.5</v>
      </c>
      <c r="G431" s="46">
        <v>84.6</v>
      </c>
      <c r="H431" s="46">
        <v>32.0</v>
      </c>
    </row>
    <row r="432" ht="15.75" customHeight="1">
      <c r="A432" s="10">
        <v>39295.0</v>
      </c>
      <c r="B432" s="46"/>
      <c r="C432" s="46">
        <v>57.7</v>
      </c>
      <c r="D432" s="46">
        <v>-3.0</v>
      </c>
      <c r="E432" s="46">
        <v>1529998.0</v>
      </c>
      <c r="F432" s="46">
        <v>5.5</v>
      </c>
      <c r="G432" s="46">
        <v>85.0</v>
      </c>
      <c r="H432" s="46">
        <v>33.0</v>
      </c>
    </row>
    <row r="433" ht="15.75" customHeight="1">
      <c r="A433" s="10">
        <v>39326.0</v>
      </c>
      <c r="B433" s="46"/>
      <c r="C433" s="46">
        <v>57.0</v>
      </c>
      <c r="D433" s="46">
        <v>-6.0</v>
      </c>
      <c r="E433" s="46">
        <v>1538876.0</v>
      </c>
      <c r="F433" s="46">
        <v>5.75</v>
      </c>
      <c r="G433" s="46">
        <v>85.0</v>
      </c>
      <c r="H433" s="46">
        <v>32.0</v>
      </c>
    </row>
    <row r="434" ht="15.75" customHeight="1">
      <c r="A434" s="10">
        <v>39356.0</v>
      </c>
      <c r="B434" s="46"/>
      <c r="C434" s="46">
        <v>57.6</v>
      </c>
      <c r="D434" s="46">
        <v>-4.0</v>
      </c>
      <c r="E434" s="46">
        <v>1550619.0</v>
      </c>
      <c r="F434" s="46">
        <v>5.75</v>
      </c>
      <c r="G434" s="46">
        <v>85.2</v>
      </c>
      <c r="H434" s="46">
        <v>27.0</v>
      </c>
    </row>
    <row r="435" ht="15.75" customHeight="1">
      <c r="A435" s="10">
        <v>39387.0</v>
      </c>
      <c r="B435" s="46"/>
      <c r="C435" s="46">
        <v>56.7</v>
      </c>
      <c r="D435" s="46">
        <v>-7.0</v>
      </c>
      <c r="E435" s="46">
        <v>1615467.0</v>
      </c>
      <c r="F435" s="46">
        <v>5.75</v>
      </c>
      <c r="G435" s="46">
        <v>85.2</v>
      </c>
      <c r="H435" s="46">
        <v>31.0</v>
      </c>
    </row>
    <row r="436" ht="15.75" customHeight="1">
      <c r="A436" s="10">
        <v>39417.0</v>
      </c>
      <c r="B436" s="46"/>
      <c r="C436" s="46">
        <v>53.1</v>
      </c>
      <c r="D436" s="46">
        <v>-8.0</v>
      </c>
      <c r="E436" s="46">
        <v>1619207.0</v>
      </c>
      <c r="F436" s="46">
        <v>5.75</v>
      </c>
      <c r="G436" s="46">
        <v>85.7</v>
      </c>
      <c r="H436" s="46">
        <v>31.0</v>
      </c>
    </row>
    <row r="437" ht="15.75" customHeight="1">
      <c r="A437" s="10">
        <v>39448.0</v>
      </c>
      <c r="B437" s="46"/>
      <c r="C437" s="46">
        <v>51.9</v>
      </c>
      <c r="D437" s="46">
        <v>-10.0</v>
      </c>
      <c r="E437" s="46">
        <v>1642110.0</v>
      </c>
      <c r="F437" s="46">
        <v>5.75</v>
      </c>
      <c r="G437" s="46">
        <v>84.9</v>
      </c>
      <c r="H437" s="46">
        <v>38.0</v>
      </c>
    </row>
    <row r="438" ht="15.75" customHeight="1">
      <c r="A438" s="10">
        <v>39479.0</v>
      </c>
      <c r="B438" s="46">
        <v>50.7</v>
      </c>
      <c r="C438" s="46">
        <v>52.4</v>
      </c>
      <c r="D438" s="46">
        <v>-14.0</v>
      </c>
      <c r="E438" s="46">
        <v>1654681.0</v>
      </c>
      <c r="F438" s="46">
        <v>5.5</v>
      </c>
      <c r="G438" s="46">
        <v>85.1</v>
      </c>
      <c r="H438" s="46">
        <v>39.0</v>
      </c>
    </row>
    <row r="439" ht="15.75" customHeight="1">
      <c r="A439" s="10">
        <v>39508.0</v>
      </c>
      <c r="B439" s="46">
        <v>51.3</v>
      </c>
      <c r="C439" s="46">
        <v>52.5</v>
      </c>
      <c r="D439" s="46">
        <v>-13.0</v>
      </c>
      <c r="E439" s="46">
        <v>1659185.0</v>
      </c>
      <c r="F439" s="46">
        <v>5.5</v>
      </c>
      <c r="G439" s="46">
        <v>85.4</v>
      </c>
      <c r="H439" s="46">
        <v>43.0</v>
      </c>
    </row>
    <row r="440" ht="15.75" customHeight="1">
      <c r="A440" s="10">
        <v>39539.0</v>
      </c>
      <c r="B440" s="46">
        <v>51.3</v>
      </c>
      <c r="C440" s="46">
        <v>54.0</v>
      </c>
      <c r="D440" s="46">
        <v>-17.0</v>
      </c>
      <c r="E440" s="46">
        <v>1670944.0</v>
      </c>
      <c r="F440" s="46">
        <v>5.25</v>
      </c>
      <c r="G440" s="46">
        <v>85.8</v>
      </c>
      <c r="H440" s="46">
        <v>43.0</v>
      </c>
    </row>
    <row r="441" ht="15.75" customHeight="1">
      <c r="A441" s="10">
        <v>39569.0</v>
      </c>
      <c r="B441" s="46">
        <v>50.8</v>
      </c>
      <c r="C441" s="46">
        <v>52.1</v>
      </c>
      <c r="D441" s="46">
        <v>-19.0</v>
      </c>
      <c r="E441" s="46">
        <v>1674644.0</v>
      </c>
      <c r="F441" s="46">
        <v>5.25</v>
      </c>
      <c r="G441" s="46">
        <v>86.1</v>
      </c>
      <c r="H441" s="46">
        <v>48.0</v>
      </c>
    </row>
    <row r="442" ht="15.75" customHeight="1">
      <c r="A442" s="10">
        <v>39600.0</v>
      </c>
      <c r="B442" s="46">
        <v>50.0</v>
      </c>
      <c r="C442" s="46">
        <v>50.4</v>
      </c>
      <c r="D442" s="46">
        <v>-24.0</v>
      </c>
      <c r="E442" s="46">
        <v>1682422.0</v>
      </c>
      <c r="F442" s="46">
        <v>5.0</v>
      </c>
      <c r="G442" s="46">
        <v>86.4</v>
      </c>
      <c r="H442" s="46">
        <v>50.0</v>
      </c>
    </row>
    <row r="443" ht="15.75" customHeight="1">
      <c r="A443" s="10">
        <v>39630.0</v>
      </c>
      <c r="B443" s="46">
        <v>45.8</v>
      </c>
      <c r="C443" s="46">
        <v>49.8</v>
      </c>
      <c r="D443" s="46">
        <v>-29.0</v>
      </c>
      <c r="E443" s="46">
        <v>1687473.0</v>
      </c>
      <c r="F443" s="46">
        <v>5.0</v>
      </c>
      <c r="G443" s="46">
        <v>86.2</v>
      </c>
      <c r="H443" s="46">
        <v>52.0</v>
      </c>
    </row>
    <row r="444" ht="15.75" customHeight="1">
      <c r="A444" s="10">
        <v>39661.0</v>
      </c>
      <c r="B444" s="46">
        <v>44.1</v>
      </c>
      <c r="C444" s="46">
        <v>47.1</v>
      </c>
      <c r="D444" s="46">
        <v>-34.0</v>
      </c>
      <c r="E444" s="46">
        <v>1743206.0</v>
      </c>
      <c r="F444" s="46">
        <v>5.0</v>
      </c>
      <c r="G444" s="46">
        <v>86.7</v>
      </c>
      <c r="H444" s="46">
        <v>56.0</v>
      </c>
    </row>
    <row r="445" ht="15.75" customHeight="1">
      <c r="A445" s="10">
        <v>39692.0</v>
      </c>
      <c r="B445" s="46">
        <v>45.9</v>
      </c>
      <c r="C445" s="46">
        <v>47.4</v>
      </c>
      <c r="D445" s="46">
        <v>-39.0</v>
      </c>
      <c r="E445" s="46">
        <v>1791995.0</v>
      </c>
      <c r="F445" s="46">
        <v>5.0</v>
      </c>
      <c r="G445" s="46">
        <v>86.9</v>
      </c>
      <c r="H445" s="46">
        <v>57.0</v>
      </c>
    </row>
    <row r="446" ht="15.75" customHeight="1">
      <c r="A446" s="10">
        <v>39722.0</v>
      </c>
      <c r="B446" s="46">
        <v>41.2</v>
      </c>
      <c r="C446" s="46">
        <v>49.2</v>
      </c>
      <c r="D446" s="46">
        <v>-36.0</v>
      </c>
      <c r="E446" s="46">
        <v>1836842.0</v>
      </c>
      <c r="F446" s="46">
        <v>5.0</v>
      </c>
      <c r="G446" s="46">
        <v>86.8</v>
      </c>
      <c r="H446" s="46">
        <v>61.0</v>
      </c>
    </row>
    <row r="447" ht="15.75" customHeight="1">
      <c r="A447" s="10">
        <v>39753.0</v>
      </c>
      <c r="B447" s="46">
        <v>41.5</v>
      </c>
      <c r="C447" s="46">
        <v>46.0</v>
      </c>
      <c r="D447" s="46">
        <v>-32.0</v>
      </c>
      <c r="E447" s="46">
        <v>1847683.0</v>
      </c>
      <c r="F447" s="46">
        <v>5.0</v>
      </c>
      <c r="G447" s="46">
        <v>86.9</v>
      </c>
      <c r="H447" s="46">
        <v>59.0</v>
      </c>
    </row>
    <row r="448" ht="15.75" customHeight="1">
      <c r="A448" s="10">
        <v>39783.0</v>
      </c>
      <c r="B448" s="46">
        <v>34.4</v>
      </c>
      <c r="C448" s="46">
        <v>42.4</v>
      </c>
      <c r="D448" s="46">
        <v>-36.0</v>
      </c>
      <c r="E448" s="46">
        <v>1838018.0</v>
      </c>
      <c r="F448" s="46">
        <v>4.5</v>
      </c>
      <c r="G448" s="46">
        <v>86.7</v>
      </c>
      <c r="H448" s="46">
        <v>48.0</v>
      </c>
    </row>
    <row r="449" ht="15.75" customHeight="1">
      <c r="A449" s="10">
        <v>39814.0</v>
      </c>
      <c r="B449" s="46">
        <v>34.9</v>
      </c>
      <c r="C449" s="46">
        <v>40.1</v>
      </c>
      <c r="D449" s="46">
        <v>-35.0</v>
      </c>
      <c r="E449" s="46">
        <v>1852102.0</v>
      </c>
      <c r="F449" s="46">
        <v>3.0</v>
      </c>
      <c r="G449" s="46">
        <v>85.9</v>
      </c>
      <c r="H449" s="46">
        <v>47.0</v>
      </c>
    </row>
    <row r="450" ht="15.75" customHeight="1">
      <c r="A450" s="10">
        <v>39845.0</v>
      </c>
      <c r="B450" s="46">
        <v>35.8</v>
      </c>
      <c r="C450" s="46">
        <v>40.2</v>
      </c>
      <c r="D450" s="46">
        <v>-33.0</v>
      </c>
      <c r="E450" s="46">
        <v>1829146.0</v>
      </c>
      <c r="F450" s="46">
        <v>2.0</v>
      </c>
      <c r="G450" s="46">
        <v>86.5</v>
      </c>
      <c r="H450" s="46">
        <v>52.0</v>
      </c>
    </row>
    <row r="451" ht="15.75" customHeight="1">
      <c r="A451" s="10">
        <v>39873.0</v>
      </c>
      <c r="B451" s="46">
        <v>34.7</v>
      </c>
      <c r="C451" s="46">
        <v>42.5</v>
      </c>
      <c r="D451" s="46">
        <v>-37.0</v>
      </c>
      <c r="E451" s="46">
        <v>1821767.0</v>
      </c>
      <c r="F451" s="46">
        <v>1.5</v>
      </c>
      <c r="G451" s="46">
        <v>86.9</v>
      </c>
      <c r="H451" s="46">
        <v>49.0</v>
      </c>
    </row>
    <row r="452" ht="15.75" customHeight="1">
      <c r="A452" s="10">
        <v>39904.0</v>
      </c>
      <c r="B452" s="46">
        <v>39.5</v>
      </c>
      <c r="C452" s="46">
        <v>43.2</v>
      </c>
      <c r="D452" s="46">
        <v>-35.0</v>
      </c>
      <c r="E452" s="46">
        <v>1814020.0</v>
      </c>
      <c r="F452" s="46">
        <v>1.0</v>
      </c>
      <c r="G452" s="46">
        <v>87.2</v>
      </c>
      <c r="H452" s="46">
        <v>47.0</v>
      </c>
    </row>
    <row r="453" ht="15.75" customHeight="1">
      <c r="A453" s="10">
        <v>39934.0</v>
      </c>
      <c r="B453" s="46">
        <v>43.1</v>
      </c>
      <c r="C453" s="46">
        <v>45.5</v>
      </c>
      <c r="D453" s="46">
        <v>-30.0</v>
      </c>
      <c r="E453" s="46">
        <v>1826659.0</v>
      </c>
      <c r="F453" s="46">
        <v>0.5</v>
      </c>
      <c r="G453" s="46">
        <v>87.5</v>
      </c>
      <c r="H453" s="46">
        <v>50.0</v>
      </c>
    </row>
    <row r="454" ht="15.75" customHeight="1">
      <c r="A454" s="10">
        <v>39965.0</v>
      </c>
      <c r="B454" s="46">
        <v>45.4</v>
      </c>
      <c r="C454" s="46">
        <v>48.7</v>
      </c>
      <c r="D454" s="46">
        <v>-27.0</v>
      </c>
      <c r="E454" s="46">
        <v>1839949.0</v>
      </c>
      <c r="F454" s="46">
        <v>0.5</v>
      </c>
      <c r="G454" s="46">
        <v>87.8</v>
      </c>
      <c r="H454" s="46">
        <v>51.0</v>
      </c>
    </row>
    <row r="455" ht="15.75" customHeight="1">
      <c r="A455" s="10">
        <v>39995.0</v>
      </c>
      <c r="B455" s="46">
        <v>47.0</v>
      </c>
      <c r="C455" s="46">
        <v>51.7</v>
      </c>
      <c r="D455" s="46">
        <v>-27.0</v>
      </c>
      <c r="E455" s="46">
        <v>1861234.0</v>
      </c>
      <c r="F455" s="46">
        <v>0.5</v>
      </c>
      <c r="G455" s="46">
        <v>87.8</v>
      </c>
      <c r="H455" s="46">
        <v>50.0</v>
      </c>
    </row>
    <row r="456" ht="15.75" customHeight="1">
      <c r="A456" s="10">
        <v>40026.0</v>
      </c>
      <c r="B456" s="46">
        <v>50.2</v>
      </c>
      <c r="C456" s="46">
        <v>51.6</v>
      </c>
      <c r="D456" s="46">
        <v>-25.0</v>
      </c>
      <c r="E456" s="46">
        <v>1896831.0</v>
      </c>
      <c r="F456" s="46">
        <v>0.5</v>
      </c>
      <c r="G456" s="46">
        <v>88.3</v>
      </c>
      <c r="H456" s="46">
        <v>48.0</v>
      </c>
    </row>
    <row r="457" ht="15.75" customHeight="1">
      <c r="A457" s="10">
        <v>40057.0</v>
      </c>
      <c r="B457" s="46">
        <v>49.7</v>
      </c>
      <c r="C457" s="46">
        <v>53.2</v>
      </c>
      <c r="D457" s="46">
        <v>-25.0</v>
      </c>
      <c r="E457" s="46">
        <v>1896264.0</v>
      </c>
      <c r="F457" s="46">
        <v>0.5</v>
      </c>
      <c r="G457" s="46">
        <v>88.3</v>
      </c>
      <c r="H457" s="46">
        <v>48.0</v>
      </c>
    </row>
    <row r="458" ht="15.75" customHeight="1">
      <c r="A458" s="10">
        <v>40087.0</v>
      </c>
      <c r="B458" s="46">
        <v>49.5</v>
      </c>
      <c r="C458" s="46">
        <v>54.1</v>
      </c>
      <c r="D458" s="46">
        <v>-25.0</v>
      </c>
      <c r="E458" s="46">
        <v>1898974.0</v>
      </c>
      <c r="F458" s="46">
        <v>0.5</v>
      </c>
      <c r="G458" s="46">
        <v>88.4</v>
      </c>
      <c r="H458" s="46">
        <v>47.0</v>
      </c>
    </row>
    <row r="459" ht="15.75" customHeight="1">
      <c r="A459" s="10">
        <v>40118.0</v>
      </c>
      <c r="B459" s="46">
        <v>53.4</v>
      </c>
      <c r="C459" s="46">
        <v>55.3</v>
      </c>
      <c r="D459" s="46">
        <v>-16.0</v>
      </c>
      <c r="E459" s="46">
        <v>2093109.0</v>
      </c>
      <c r="F459" s="46">
        <v>0.5</v>
      </c>
      <c r="G459" s="46">
        <v>88.6</v>
      </c>
      <c r="H459" s="46">
        <v>49.0</v>
      </c>
    </row>
    <row r="460" ht="15.75" customHeight="1">
      <c r="A460" s="10">
        <v>40148.0</v>
      </c>
      <c r="B460" s="46">
        <v>54.6</v>
      </c>
      <c r="C460" s="46">
        <v>56.9</v>
      </c>
      <c r="D460" s="46">
        <v>-13.0</v>
      </c>
      <c r="E460" s="46">
        <v>2119903.0</v>
      </c>
      <c r="F460" s="46">
        <v>0.5</v>
      </c>
      <c r="G460" s="46">
        <v>89.1</v>
      </c>
      <c r="H460" s="46">
        <v>45.0</v>
      </c>
    </row>
    <row r="461" ht="15.75" customHeight="1">
      <c r="A461" s="10">
        <v>40179.0</v>
      </c>
      <c r="B461" s="46">
        <v>54.1</v>
      </c>
      <c r="C461" s="46">
        <v>56.6</v>
      </c>
      <c r="D461" s="46">
        <v>-17.0</v>
      </c>
      <c r="E461" s="46">
        <v>2104683.0</v>
      </c>
      <c r="F461" s="46">
        <v>0.5</v>
      </c>
      <c r="G461" s="46">
        <v>88.6</v>
      </c>
      <c r="H461" s="46">
        <v>47.0</v>
      </c>
    </row>
    <row r="462" ht="15.75" customHeight="1">
      <c r="A462" s="10">
        <v>40210.0</v>
      </c>
      <c r="B462" s="46">
        <v>56.6</v>
      </c>
      <c r="C462" s="46">
        <v>56.8</v>
      </c>
      <c r="D462" s="46">
        <v>-19.0</v>
      </c>
      <c r="E462" s="46">
        <v>2076687.0</v>
      </c>
      <c r="F462" s="46">
        <v>0.5</v>
      </c>
      <c r="G462" s="46">
        <v>89.0</v>
      </c>
      <c r="H462" s="46">
        <v>44.0</v>
      </c>
    </row>
    <row r="463" ht="15.75" customHeight="1">
      <c r="A463" s="10">
        <v>40238.0</v>
      </c>
      <c r="B463" s="46">
        <v>56.6</v>
      </c>
      <c r="C463" s="46">
        <v>54.5</v>
      </c>
      <c r="D463" s="46">
        <v>-17.0</v>
      </c>
      <c r="E463" s="46">
        <v>2090959.0</v>
      </c>
      <c r="F463" s="46">
        <v>0.5</v>
      </c>
      <c r="G463" s="46">
        <v>89.5</v>
      </c>
      <c r="H463" s="46">
        <v>47.0</v>
      </c>
    </row>
    <row r="464" ht="15.75" customHeight="1">
      <c r="A464" s="10">
        <v>40269.0</v>
      </c>
      <c r="B464" s="46">
        <v>57.2</v>
      </c>
      <c r="C464" s="46">
        <v>58.4</v>
      </c>
      <c r="D464" s="46">
        <v>-14.0</v>
      </c>
      <c r="E464" s="46">
        <v>2094153.0</v>
      </c>
      <c r="F464" s="46">
        <v>0.5</v>
      </c>
      <c r="G464" s="46">
        <v>89.9</v>
      </c>
      <c r="H464" s="46">
        <v>44.0</v>
      </c>
    </row>
    <row r="465" ht="15.75" customHeight="1">
      <c r="A465" s="10">
        <v>40299.0</v>
      </c>
      <c r="B465" s="46">
        <v>58.0</v>
      </c>
      <c r="C465" s="46">
        <v>56.5</v>
      </c>
      <c r="D465" s="46">
        <v>-15.0</v>
      </c>
      <c r="E465" s="46">
        <v>2089982.0</v>
      </c>
      <c r="F465" s="46">
        <v>0.5</v>
      </c>
      <c r="G465" s="46">
        <v>90.1</v>
      </c>
      <c r="H465" s="46">
        <v>47.0</v>
      </c>
    </row>
    <row r="466" ht="15.75" customHeight="1">
      <c r="A466" s="10">
        <v>40330.0</v>
      </c>
      <c r="B466" s="46">
        <v>58.0</v>
      </c>
      <c r="C466" s="46">
        <v>55.3</v>
      </c>
      <c r="D466" s="46">
        <v>-16.0</v>
      </c>
      <c r="E466" s="46">
        <v>2082736.0</v>
      </c>
      <c r="F466" s="46">
        <v>0.5</v>
      </c>
      <c r="G466" s="46">
        <v>90.4</v>
      </c>
      <c r="H466" s="46">
        <v>45.0</v>
      </c>
    </row>
    <row r="467" ht="15.75" customHeight="1">
      <c r="A467" s="10">
        <v>40360.0</v>
      </c>
      <c r="B467" s="46">
        <v>57.5</v>
      </c>
      <c r="C467" s="46">
        <v>55.4</v>
      </c>
      <c r="D467" s="46">
        <v>-18.0</v>
      </c>
      <c r="E467" s="46">
        <v>2082022.0</v>
      </c>
      <c r="F467" s="46">
        <v>0.5</v>
      </c>
      <c r="G467" s="46">
        <v>90.1</v>
      </c>
      <c r="H467" s="46">
        <v>48.0</v>
      </c>
    </row>
    <row r="468" ht="15.75" customHeight="1">
      <c r="A468" s="10">
        <v>40391.0</v>
      </c>
      <c r="B468" s="46">
        <v>56.9</v>
      </c>
      <c r="C468" s="46">
        <v>54.4</v>
      </c>
      <c r="D468" s="46">
        <v>-19.0</v>
      </c>
      <c r="E468" s="46">
        <v>2092459.0</v>
      </c>
      <c r="F468" s="46">
        <v>0.5</v>
      </c>
      <c r="G468" s="46">
        <v>90.7</v>
      </c>
      <c r="H468" s="46">
        <v>40.0</v>
      </c>
    </row>
    <row r="469" ht="15.75" customHeight="1">
      <c r="A469" s="10">
        <v>40422.0</v>
      </c>
      <c r="B469" s="46">
        <v>53.7</v>
      </c>
      <c r="C469" s="46">
        <v>53.1</v>
      </c>
      <c r="D469" s="46">
        <v>-22.0</v>
      </c>
      <c r="E469" s="46">
        <v>2081052.0</v>
      </c>
      <c r="F469" s="46">
        <v>0.5</v>
      </c>
      <c r="G469" s="46">
        <v>90.7</v>
      </c>
      <c r="H469" s="46">
        <v>43.0</v>
      </c>
    </row>
    <row r="470" ht="15.75" customHeight="1">
      <c r="A470" s="10">
        <v>40452.0</v>
      </c>
      <c r="B470" s="46">
        <v>53.4</v>
      </c>
      <c r="C470" s="46">
        <v>51.3</v>
      </c>
      <c r="D470" s="46">
        <v>-18.0</v>
      </c>
      <c r="E470" s="46">
        <v>2078095.0</v>
      </c>
      <c r="F470" s="46">
        <v>0.5</v>
      </c>
      <c r="G470" s="46">
        <v>90.9</v>
      </c>
      <c r="H470" s="46">
        <v>41.0</v>
      </c>
    </row>
    <row r="471" ht="15.75" customHeight="1">
      <c r="A471" s="10">
        <v>40483.0</v>
      </c>
      <c r="B471" s="46">
        <v>55.4</v>
      </c>
      <c r="C471" s="46">
        <v>52.8</v>
      </c>
      <c r="D471" s="46">
        <v>-20.0</v>
      </c>
      <c r="E471" s="46">
        <v>2065339.0</v>
      </c>
      <c r="F471" s="46">
        <v>0.5</v>
      </c>
      <c r="G471" s="46">
        <v>91.0</v>
      </c>
      <c r="H471" s="46">
        <v>46.0</v>
      </c>
    </row>
    <row r="472" ht="15.75" customHeight="1">
      <c r="A472" s="10">
        <v>40513.0</v>
      </c>
      <c r="B472" s="46">
        <v>57.5</v>
      </c>
      <c r="C472" s="46">
        <v>53.2</v>
      </c>
      <c r="D472" s="46">
        <v>-19.0</v>
      </c>
      <c r="E472" s="46">
        <v>2058834.0</v>
      </c>
      <c r="F472" s="46">
        <v>0.5</v>
      </c>
      <c r="G472" s="46">
        <v>91.7</v>
      </c>
      <c r="H472" s="46">
        <v>43.0</v>
      </c>
    </row>
    <row r="473" ht="15.75" customHeight="1">
      <c r="A473" s="10">
        <v>40544.0</v>
      </c>
      <c r="B473" s="46">
        <v>58.7</v>
      </c>
      <c r="C473" s="46">
        <v>53.0</v>
      </c>
      <c r="D473" s="46">
        <v>-21.0</v>
      </c>
      <c r="E473" s="46">
        <v>2083348.0</v>
      </c>
      <c r="F473" s="46">
        <v>0.5</v>
      </c>
      <c r="G473" s="46">
        <v>91.3</v>
      </c>
      <c r="H473" s="46">
        <v>47.0</v>
      </c>
    </row>
    <row r="474" ht="15.75" customHeight="1">
      <c r="A474" s="10">
        <v>40575.0</v>
      </c>
      <c r="B474" s="46">
        <v>61.5</v>
      </c>
      <c r="C474" s="46">
        <v>49.7</v>
      </c>
      <c r="D474" s="46">
        <v>-21.0</v>
      </c>
      <c r="E474" s="46">
        <v>2085370.0</v>
      </c>
      <c r="F474" s="46">
        <v>0.5</v>
      </c>
      <c r="G474" s="46">
        <v>92.0</v>
      </c>
      <c r="H474" s="46">
        <v>44.0</v>
      </c>
    </row>
    <row r="475" ht="15.75" customHeight="1">
      <c r="A475" s="10">
        <v>40603.0</v>
      </c>
      <c r="B475" s="46">
        <v>60.9</v>
      </c>
      <c r="C475" s="46">
        <v>54.5</v>
      </c>
      <c r="D475" s="46">
        <v>-29.0</v>
      </c>
      <c r="E475" s="46">
        <v>2085121.0</v>
      </c>
      <c r="F475" s="46">
        <v>0.5</v>
      </c>
      <c r="G475" s="46">
        <v>92.3</v>
      </c>
      <c r="H475" s="46">
        <v>48.0</v>
      </c>
    </row>
    <row r="476" ht="15.75" customHeight="1">
      <c r="A476" s="10">
        <v>40634.0</v>
      </c>
      <c r="B476" s="46">
        <v>56.7</v>
      </c>
      <c r="C476" s="46">
        <v>52.6</v>
      </c>
      <c r="D476" s="46">
        <v>-28.0</v>
      </c>
      <c r="E476" s="46">
        <v>2083112.0</v>
      </c>
      <c r="F476" s="46">
        <v>0.5</v>
      </c>
      <c r="G476" s="46">
        <v>93.2</v>
      </c>
      <c r="H476" s="46">
        <v>45.0</v>
      </c>
    </row>
    <row r="477" ht="15.75" customHeight="1">
      <c r="A477" s="10">
        <v>40664.0</v>
      </c>
      <c r="B477" s="46">
        <v>54.4</v>
      </c>
      <c r="C477" s="46">
        <v>57.1</v>
      </c>
      <c r="D477" s="46">
        <v>-28.0</v>
      </c>
      <c r="E477" s="46">
        <v>2080391.0</v>
      </c>
      <c r="F477" s="46">
        <v>0.5</v>
      </c>
      <c r="G477" s="46">
        <v>93.1</v>
      </c>
      <c r="H477" s="46">
        <v>46.0</v>
      </c>
    </row>
    <row r="478" ht="15.75" customHeight="1">
      <c r="A478" s="10">
        <v>40695.0</v>
      </c>
      <c r="B478" s="46">
        <v>52.0</v>
      </c>
      <c r="C478" s="46">
        <v>54.3</v>
      </c>
      <c r="D478" s="46">
        <v>-31.0</v>
      </c>
      <c r="E478" s="46">
        <v>2092481.0</v>
      </c>
      <c r="F478" s="46">
        <v>0.5</v>
      </c>
      <c r="G478" s="46">
        <v>93.0</v>
      </c>
      <c r="H478" s="46">
        <v>48.0</v>
      </c>
    </row>
    <row r="479" ht="15.75" customHeight="1">
      <c r="A479" s="10">
        <v>40725.0</v>
      </c>
      <c r="B479" s="46">
        <v>51.4</v>
      </c>
      <c r="C479" s="46">
        <v>53.8</v>
      </c>
      <c r="D479" s="46">
        <v>-21.0</v>
      </c>
      <c r="E479" s="46">
        <v>2091508.0</v>
      </c>
      <c r="F479" s="46">
        <v>0.5</v>
      </c>
      <c r="G479" s="46">
        <v>92.9</v>
      </c>
      <c r="H479" s="46">
        <v>49.0</v>
      </c>
    </row>
    <row r="480" ht="15.75" customHeight="1">
      <c r="A480" s="10">
        <v>40756.0</v>
      </c>
      <c r="B480" s="46">
        <v>49.4</v>
      </c>
      <c r="C480" s="46">
        <v>53.9</v>
      </c>
      <c r="D480" s="46">
        <v>-25.0</v>
      </c>
      <c r="E480" s="46">
        <v>2068434.0</v>
      </c>
      <c r="F480" s="46">
        <v>0.5</v>
      </c>
      <c r="G480" s="46">
        <v>93.6</v>
      </c>
      <c r="H480" s="46">
        <v>52.0</v>
      </c>
    </row>
    <row r="481" ht="15.75" customHeight="1">
      <c r="A481" s="10">
        <v>40787.0</v>
      </c>
      <c r="B481" s="46">
        <v>49.4</v>
      </c>
      <c r="C481" s="46">
        <v>55.4</v>
      </c>
      <c r="D481" s="46">
        <v>-30.0</v>
      </c>
      <c r="E481" s="46">
        <v>2073902.0</v>
      </c>
      <c r="F481" s="46">
        <v>0.5</v>
      </c>
      <c r="G481" s="46">
        <v>93.8</v>
      </c>
      <c r="H481" s="46">
        <v>51.0</v>
      </c>
    </row>
    <row r="482" ht="15.75" customHeight="1">
      <c r="A482" s="10">
        <v>40817.0</v>
      </c>
      <c r="B482" s="46">
        <v>50.8</v>
      </c>
      <c r="C482" s="46">
        <v>51.1</v>
      </c>
      <c r="D482" s="46">
        <v>-31.0</v>
      </c>
      <c r="E482" s="46">
        <v>2032537.0</v>
      </c>
      <c r="F482" s="46">
        <v>0.5</v>
      </c>
      <c r="G482" s="46">
        <v>93.9</v>
      </c>
      <c r="H482" s="46">
        <v>53.0</v>
      </c>
    </row>
    <row r="483" ht="15.75" customHeight="1">
      <c r="A483" s="10">
        <v>40848.0</v>
      </c>
      <c r="B483" s="46">
        <v>47.8</v>
      </c>
      <c r="C483" s="46">
        <v>52.9</v>
      </c>
      <c r="D483" s="46">
        <v>-30.0</v>
      </c>
      <c r="E483" s="46">
        <v>2049654.0</v>
      </c>
      <c r="F483" s="46">
        <v>0.5</v>
      </c>
      <c r="G483" s="46">
        <v>94.0</v>
      </c>
      <c r="H483" s="46">
        <v>53.0</v>
      </c>
    </row>
    <row r="484" ht="15.75" customHeight="1">
      <c r="A484" s="10">
        <v>40878.0</v>
      </c>
      <c r="B484" s="46">
        <v>47.7</v>
      </c>
      <c r="C484" s="46">
        <v>51.3</v>
      </c>
      <c r="D484" s="46">
        <v>-32.0</v>
      </c>
      <c r="E484" s="46">
        <v>2017047.0</v>
      </c>
      <c r="F484" s="46">
        <v>0.5</v>
      </c>
      <c r="G484" s="46">
        <v>94.4</v>
      </c>
      <c r="H484" s="46">
        <v>53.0</v>
      </c>
    </row>
    <row r="485" ht="15.75" customHeight="1">
      <c r="A485" s="10">
        <v>40909.0</v>
      </c>
      <c r="B485" s="46">
        <v>49.7</v>
      </c>
      <c r="C485" s="46">
        <v>52.1</v>
      </c>
      <c r="D485" s="46">
        <v>-31.0</v>
      </c>
      <c r="E485" s="46">
        <v>2022760.0</v>
      </c>
      <c r="F485" s="46">
        <v>0.5</v>
      </c>
      <c r="G485" s="46">
        <v>93.7</v>
      </c>
      <c r="H485" s="46">
        <v>59.0</v>
      </c>
    </row>
    <row r="486" ht="15.75" customHeight="1">
      <c r="A486" s="10">
        <v>40940.0</v>
      </c>
      <c r="B486" s="46">
        <v>52.0</v>
      </c>
      <c r="C486" s="46">
        <v>54.0</v>
      </c>
      <c r="D486" s="46">
        <v>-33.0</v>
      </c>
      <c r="E486" s="46">
        <v>2033730.0</v>
      </c>
      <c r="F486" s="46">
        <v>0.5</v>
      </c>
      <c r="G486" s="46">
        <v>94.2</v>
      </c>
      <c r="H486" s="46">
        <v>49.0</v>
      </c>
    </row>
    <row r="487" ht="15.75" customHeight="1">
      <c r="A487" s="10">
        <v>40969.0</v>
      </c>
      <c r="B487" s="46">
        <v>51.5</v>
      </c>
      <c r="C487" s="46">
        <v>56.0</v>
      </c>
      <c r="D487" s="46">
        <v>-29.0</v>
      </c>
      <c r="E487" s="46">
        <v>2035279.0</v>
      </c>
      <c r="F487" s="46">
        <v>0.5</v>
      </c>
      <c r="G487" s="46">
        <v>94.6</v>
      </c>
      <c r="H487" s="46">
        <v>50.0</v>
      </c>
    </row>
    <row r="488" ht="15.75" customHeight="1">
      <c r="A488" s="10">
        <v>41000.0</v>
      </c>
      <c r="B488" s="46">
        <v>51.9</v>
      </c>
      <c r="C488" s="46">
        <v>53.8</v>
      </c>
      <c r="D488" s="46">
        <v>-29.0</v>
      </c>
      <c r="E488" s="46">
        <v>2027863.0</v>
      </c>
      <c r="F488" s="46">
        <v>0.5</v>
      </c>
      <c r="G488" s="46">
        <v>95.1</v>
      </c>
      <c r="H488" s="46">
        <v>52.0</v>
      </c>
    </row>
    <row r="489" ht="15.75" customHeight="1">
      <c r="A489" s="10">
        <v>41030.0</v>
      </c>
      <c r="B489" s="46">
        <v>50.2</v>
      </c>
      <c r="C489" s="46">
        <v>55.3</v>
      </c>
      <c r="D489" s="46">
        <v>-31.0</v>
      </c>
      <c r="E489" s="46">
        <v>2029479.0</v>
      </c>
      <c r="F489" s="46">
        <v>0.5</v>
      </c>
      <c r="G489" s="46">
        <v>95.2</v>
      </c>
      <c r="H489" s="46">
        <v>51.0</v>
      </c>
    </row>
    <row r="490" ht="15.75" customHeight="1">
      <c r="A490" s="10">
        <v>41061.0</v>
      </c>
      <c r="B490" s="46">
        <v>45.9</v>
      </c>
      <c r="C490" s="46">
        <v>53.3</v>
      </c>
      <c r="D490" s="46">
        <v>-31.0</v>
      </c>
      <c r="E490" s="46">
        <v>2025671.0</v>
      </c>
      <c r="F490" s="46">
        <v>0.5</v>
      </c>
      <c r="G490" s="46">
        <v>94.9</v>
      </c>
      <c r="H490" s="46">
        <v>44.0</v>
      </c>
    </row>
    <row r="491" ht="15.75" customHeight="1">
      <c r="A491" s="10">
        <v>41091.0</v>
      </c>
      <c r="B491" s="46">
        <v>48.4</v>
      </c>
      <c r="C491" s="46">
        <v>53.3</v>
      </c>
      <c r="D491" s="46">
        <v>-29.0</v>
      </c>
      <c r="E491" s="46">
        <v>2024238.0</v>
      </c>
      <c r="F491" s="46">
        <v>0.5</v>
      </c>
      <c r="G491" s="46">
        <v>95.1</v>
      </c>
      <c r="H491" s="46">
        <v>47.0</v>
      </c>
    </row>
    <row r="492" ht="15.75" customHeight="1">
      <c r="A492" s="10">
        <v>41122.0</v>
      </c>
      <c r="B492" s="46">
        <v>45.2</v>
      </c>
      <c r="C492" s="46">
        <v>51.3</v>
      </c>
      <c r="D492" s="46">
        <v>-29.0</v>
      </c>
      <c r="E492" s="46">
        <v>2021955.0</v>
      </c>
      <c r="F492" s="46">
        <v>0.5</v>
      </c>
      <c r="G492" s="46">
        <v>95.5</v>
      </c>
      <c r="H492" s="46">
        <v>48.0</v>
      </c>
    </row>
    <row r="493" ht="15.75" customHeight="1">
      <c r="A493" s="10">
        <v>41153.0</v>
      </c>
      <c r="B493" s="46">
        <v>49.5</v>
      </c>
      <c r="C493" s="46">
        <v>51.0</v>
      </c>
      <c r="D493" s="46">
        <v>-29.0</v>
      </c>
      <c r="E493" s="46">
        <v>2018508.0</v>
      </c>
      <c r="F493" s="46">
        <v>0.5</v>
      </c>
      <c r="G493" s="46">
        <v>95.7</v>
      </c>
      <c r="H493" s="46">
        <v>50.0</v>
      </c>
    </row>
    <row r="494" ht="15.75" customHeight="1">
      <c r="A494" s="10">
        <v>41183.0</v>
      </c>
      <c r="B494" s="46">
        <v>48.1</v>
      </c>
      <c r="C494" s="46">
        <v>53.7</v>
      </c>
      <c r="D494" s="46">
        <v>-29.0</v>
      </c>
      <c r="E494" s="46">
        <v>2040677.0</v>
      </c>
      <c r="F494" s="46">
        <v>0.5</v>
      </c>
      <c r="G494" s="46">
        <v>96.4</v>
      </c>
      <c r="H494" s="46">
        <v>53.0</v>
      </c>
    </row>
    <row r="495" ht="15.75" customHeight="1">
      <c r="A495" s="10">
        <v>41214.0</v>
      </c>
      <c r="B495" s="46">
        <v>47.3</v>
      </c>
      <c r="C495" s="46">
        <v>52.2</v>
      </c>
      <c r="D495" s="46">
        <v>-28.0</v>
      </c>
      <c r="E495" s="46">
        <v>2056564.0</v>
      </c>
      <c r="F495" s="46">
        <v>0.5</v>
      </c>
      <c r="G495" s="46">
        <v>96.4</v>
      </c>
      <c r="H495" s="46">
        <v>54.0</v>
      </c>
    </row>
    <row r="496" ht="15.75" customHeight="1">
      <c r="A496" s="10">
        <v>41244.0</v>
      </c>
      <c r="B496" s="46">
        <v>49.2</v>
      </c>
      <c r="C496" s="46">
        <v>50.6</v>
      </c>
      <c r="D496" s="46">
        <v>-30.0</v>
      </c>
      <c r="E496" s="46">
        <v>2076060.0</v>
      </c>
      <c r="F496" s="46">
        <v>0.5</v>
      </c>
      <c r="G496" s="46">
        <v>96.7</v>
      </c>
      <c r="H496" s="46">
        <v>56.0</v>
      </c>
    </row>
    <row r="497" ht="15.75" customHeight="1">
      <c r="A497" s="10">
        <v>41275.0</v>
      </c>
      <c r="B497" s="46">
        <v>51.2</v>
      </c>
      <c r="C497" s="46">
        <v>50.2</v>
      </c>
      <c r="D497" s="46">
        <v>-22.0</v>
      </c>
      <c r="E497" s="46">
        <v>2075818.0</v>
      </c>
      <c r="F497" s="46">
        <v>0.5</v>
      </c>
      <c r="G497" s="46">
        <v>95.8</v>
      </c>
      <c r="H497" s="46">
        <v>55.0</v>
      </c>
    </row>
    <row r="498" ht="15.75" customHeight="1">
      <c r="A498" s="10">
        <v>41306.0</v>
      </c>
      <c r="B498" s="46">
        <v>50.5</v>
      </c>
      <c r="C498" s="46">
        <v>48.9</v>
      </c>
      <c r="D498" s="46">
        <v>-29.0</v>
      </c>
      <c r="E498" s="46">
        <v>2081014.0</v>
      </c>
      <c r="F498" s="46">
        <v>0.5</v>
      </c>
      <c r="G498" s="46">
        <v>96.4</v>
      </c>
      <c r="H498" s="46">
        <v>52.0</v>
      </c>
    </row>
    <row r="499" ht="15.75" customHeight="1">
      <c r="A499" s="10">
        <v>41334.0</v>
      </c>
      <c r="B499" s="46">
        <v>47.9</v>
      </c>
      <c r="C499" s="46">
        <v>51.5</v>
      </c>
      <c r="D499" s="46">
        <v>-26.0</v>
      </c>
      <c r="E499" s="46">
        <v>2081598.0</v>
      </c>
      <c r="F499" s="46">
        <v>0.5</v>
      </c>
      <c r="G499" s="46">
        <v>96.8</v>
      </c>
      <c r="H499" s="46">
        <v>54.0</v>
      </c>
    </row>
    <row r="500" ht="15.75" customHeight="1">
      <c r="A500" s="10">
        <v>41365.0</v>
      </c>
      <c r="B500" s="46">
        <v>48.6</v>
      </c>
      <c r="C500" s="46">
        <v>51.8</v>
      </c>
      <c r="D500" s="46">
        <v>-26.0</v>
      </c>
      <c r="E500" s="46">
        <v>2085914.0</v>
      </c>
      <c r="F500" s="46">
        <v>0.5</v>
      </c>
      <c r="G500" s="46">
        <v>97.0</v>
      </c>
      <c r="H500" s="46">
        <v>54.0</v>
      </c>
    </row>
    <row r="501" ht="15.75" customHeight="1">
      <c r="A501" s="10">
        <v>41395.0</v>
      </c>
      <c r="B501" s="46">
        <v>50.2</v>
      </c>
      <c r="C501" s="46">
        <v>52.4</v>
      </c>
      <c r="D501" s="46">
        <v>-26.0</v>
      </c>
      <c r="E501" s="46">
        <v>2100915.0</v>
      </c>
      <c r="F501" s="46">
        <v>0.5</v>
      </c>
      <c r="G501" s="46">
        <v>97.3</v>
      </c>
      <c r="H501" s="46">
        <v>58.0</v>
      </c>
    </row>
    <row r="502" ht="15.75" customHeight="1">
      <c r="A502" s="10">
        <v>41426.0</v>
      </c>
      <c r="B502" s="46">
        <v>51.5</v>
      </c>
      <c r="C502" s="46">
        <v>52.9</v>
      </c>
      <c r="D502" s="46">
        <v>-27.0</v>
      </c>
      <c r="E502" s="46">
        <v>2105180.0</v>
      </c>
      <c r="F502" s="46">
        <v>0.5</v>
      </c>
      <c r="G502" s="46">
        <v>97.2</v>
      </c>
      <c r="H502" s="46">
        <v>58.0</v>
      </c>
    </row>
    <row r="503" ht="15.75" customHeight="1">
      <c r="A503" s="10">
        <v>41456.0</v>
      </c>
      <c r="B503" s="46">
        <v>52.5</v>
      </c>
      <c r="C503" s="46">
        <v>54.9</v>
      </c>
      <c r="D503" s="46">
        <v>-22.0</v>
      </c>
      <c r="E503" s="46">
        <v>2089549.0</v>
      </c>
      <c r="F503" s="46">
        <v>0.5</v>
      </c>
      <c r="G503" s="46">
        <v>97.0</v>
      </c>
      <c r="H503" s="46">
        <v>61.0</v>
      </c>
    </row>
    <row r="504" ht="15.75" customHeight="1">
      <c r="A504" s="10">
        <v>41487.0</v>
      </c>
      <c r="B504" s="46">
        <v>54.8</v>
      </c>
      <c r="C504" s="46">
        <v>56.9</v>
      </c>
      <c r="D504" s="46">
        <v>-21.0</v>
      </c>
      <c r="E504" s="46">
        <v>2104483.0</v>
      </c>
      <c r="F504" s="46">
        <v>0.5</v>
      </c>
      <c r="G504" s="46">
        <v>97.4</v>
      </c>
      <c r="H504" s="46">
        <v>62.0</v>
      </c>
    </row>
    <row r="505" ht="15.75" customHeight="1">
      <c r="A505" s="10">
        <v>41518.0</v>
      </c>
      <c r="B505" s="46">
        <v>57.2</v>
      </c>
      <c r="C505" s="46">
        <v>60.2</v>
      </c>
      <c r="D505" s="46">
        <v>-16.0</v>
      </c>
      <c r="E505" s="46">
        <v>2099193.0</v>
      </c>
      <c r="F505" s="46">
        <v>0.5</v>
      </c>
      <c r="G505" s="46">
        <v>97.8</v>
      </c>
      <c r="H505" s="46">
        <v>67.0</v>
      </c>
    </row>
    <row r="506" ht="15.75" customHeight="1">
      <c r="A506" s="10">
        <v>41548.0</v>
      </c>
      <c r="B506" s="46">
        <v>56.3</v>
      </c>
      <c r="C506" s="46">
        <v>60.5</v>
      </c>
      <c r="D506" s="46">
        <v>-13.0</v>
      </c>
      <c r="E506" s="46">
        <v>2075796.0</v>
      </c>
      <c r="F506" s="46">
        <v>0.5</v>
      </c>
      <c r="G506" s="46">
        <v>98.0</v>
      </c>
      <c r="H506" s="46">
        <v>68.0</v>
      </c>
    </row>
    <row r="507" ht="15.75" customHeight="1">
      <c r="A507" s="10">
        <v>41579.0</v>
      </c>
      <c r="B507" s="46">
        <v>56.5</v>
      </c>
      <c r="C507" s="46">
        <v>60.3</v>
      </c>
      <c r="D507" s="46">
        <v>-10.0</v>
      </c>
      <c r="E507" s="46">
        <v>2092239.0</v>
      </c>
      <c r="F507" s="46">
        <v>0.5</v>
      </c>
      <c r="G507" s="46">
        <v>98.2</v>
      </c>
      <c r="H507" s="46">
        <v>71.0</v>
      </c>
    </row>
    <row r="508" ht="15.75" customHeight="1">
      <c r="A508" s="10">
        <v>41609.0</v>
      </c>
      <c r="B508" s="46">
        <v>58.1</v>
      </c>
      <c r="C508" s="46">
        <v>62.5</v>
      </c>
      <c r="D508" s="46">
        <v>-11.0</v>
      </c>
      <c r="E508" s="46">
        <v>2111272.0</v>
      </c>
      <c r="F508" s="46">
        <v>0.5</v>
      </c>
      <c r="G508" s="46">
        <v>98.3</v>
      </c>
      <c r="H508" s="46">
        <v>72.0</v>
      </c>
    </row>
    <row r="509" ht="15.75" customHeight="1">
      <c r="A509" s="10">
        <v>41640.0</v>
      </c>
      <c r="B509" s="46">
        <v>57.2</v>
      </c>
      <c r="C509" s="46">
        <v>60.0</v>
      </c>
      <c r="D509" s="46">
        <v>-12.0</v>
      </c>
      <c r="E509" s="46">
        <v>2085088.0</v>
      </c>
      <c r="F509" s="46">
        <v>0.5</v>
      </c>
      <c r="G509" s="46">
        <v>97.4</v>
      </c>
      <c r="H509" s="46">
        <v>76.95</v>
      </c>
    </row>
    <row r="510" ht="15.75" customHeight="1">
      <c r="A510" s="10">
        <v>41671.0</v>
      </c>
      <c r="B510" s="46">
        <v>56.7</v>
      </c>
      <c r="C510" s="46">
        <v>58.8</v>
      </c>
      <c r="D510" s="46">
        <v>-13.0</v>
      </c>
      <c r="E510" s="46">
        <v>2078643.0</v>
      </c>
      <c r="F510" s="46">
        <v>0.5</v>
      </c>
      <c r="G510" s="46">
        <v>98.0</v>
      </c>
      <c r="H510" s="46">
        <v>70.31</v>
      </c>
    </row>
    <row r="511" ht="15.75" customHeight="1">
      <c r="A511" s="10">
        <v>41699.0</v>
      </c>
      <c r="B511" s="46">
        <v>56.2</v>
      </c>
      <c r="C511" s="46">
        <v>58.3</v>
      </c>
      <c r="D511" s="46">
        <v>-7.0</v>
      </c>
      <c r="E511" s="46">
        <v>2072507.0</v>
      </c>
      <c r="F511" s="46">
        <v>0.5</v>
      </c>
      <c r="G511" s="46">
        <v>98.4</v>
      </c>
      <c r="H511" s="46">
        <v>67.14</v>
      </c>
    </row>
    <row r="512" ht="15.75" customHeight="1">
      <c r="A512" s="10">
        <v>41730.0</v>
      </c>
      <c r="B512" s="46">
        <v>55.8</v>
      </c>
      <c r="C512" s="46">
        <v>58.2</v>
      </c>
      <c r="D512" s="46">
        <v>-7.0</v>
      </c>
      <c r="E512" s="46">
        <v>2062114.0</v>
      </c>
      <c r="F512" s="46">
        <v>0.5</v>
      </c>
      <c r="G512" s="46">
        <v>98.9</v>
      </c>
      <c r="H512" s="46">
        <v>62.92</v>
      </c>
    </row>
    <row r="513" ht="15.75" customHeight="1">
      <c r="A513" s="10">
        <v>41760.0</v>
      </c>
      <c r="B513" s="46">
        <v>57.3</v>
      </c>
      <c r="C513" s="46">
        <v>57.6</v>
      </c>
      <c r="D513" s="46">
        <v>-5.0</v>
      </c>
      <c r="E513" s="46">
        <v>2065134.0</v>
      </c>
      <c r="F513" s="46">
        <v>0.5</v>
      </c>
      <c r="G513" s="46">
        <v>98.9</v>
      </c>
      <c r="H513" s="46">
        <v>61.71</v>
      </c>
    </row>
    <row r="514" ht="15.75" customHeight="1">
      <c r="A514" s="10">
        <v>41791.0</v>
      </c>
      <c r="B514" s="46">
        <v>57.0</v>
      </c>
      <c r="C514" s="46">
        <v>58.7</v>
      </c>
      <c r="D514" s="46">
        <v>-3.0</v>
      </c>
      <c r="E514" s="46">
        <v>2065969.0</v>
      </c>
      <c r="F514" s="46">
        <v>0.5</v>
      </c>
      <c r="G514" s="46">
        <v>99.1</v>
      </c>
      <c r="H514" s="46">
        <v>67.2</v>
      </c>
    </row>
    <row r="515" ht="15.75" customHeight="1">
      <c r="A515" s="10">
        <v>41821.0</v>
      </c>
      <c r="B515" s="46">
        <v>57.5</v>
      </c>
      <c r="C515" s="46">
        <v>58.6</v>
      </c>
      <c r="D515" s="46">
        <v>0.1</v>
      </c>
      <c r="E515" s="46">
        <v>2073139.0</v>
      </c>
      <c r="F515" s="46">
        <v>0.5</v>
      </c>
      <c r="G515" s="46">
        <v>98.7</v>
      </c>
      <c r="H515" s="46">
        <v>66.57</v>
      </c>
    </row>
    <row r="516" ht="15.75" customHeight="1">
      <c r="A516" s="10">
        <v>41852.0</v>
      </c>
      <c r="B516" s="46">
        <v>55.1</v>
      </c>
      <c r="C516" s="46">
        <v>57.7</v>
      </c>
      <c r="D516" s="46">
        <v>1.0</v>
      </c>
      <c r="E516" s="46">
        <v>2062143.0</v>
      </c>
      <c r="F516" s="46">
        <v>0.5</v>
      </c>
      <c r="G516" s="46">
        <v>99.3</v>
      </c>
      <c r="H516" s="46">
        <v>64.21</v>
      </c>
    </row>
    <row r="517" ht="15.75" customHeight="1">
      <c r="A517" s="10">
        <v>41883.0</v>
      </c>
      <c r="B517" s="46">
        <v>53.3</v>
      </c>
      <c r="C517" s="46">
        <v>59.1</v>
      </c>
      <c r="D517" s="46">
        <v>-2.0</v>
      </c>
      <c r="E517" s="46">
        <v>2068476.0</v>
      </c>
      <c r="F517" s="46">
        <v>0.5</v>
      </c>
      <c r="G517" s="46">
        <v>99.3</v>
      </c>
      <c r="H517" s="46">
        <v>61.27</v>
      </c>
    </row>
    <row r="518" ht="15.75" customHeight="1">
      <c r="A518" s="10">
        <v>41913.0</v>
      </c>
      <c r="B518" s="46">
        <v>51.6</v>
      </c>
      <c r="C518" s="46">
        <v>60.5</v>
      </c>
      <c r="D518" s="46">
        <v>1.0</v>
      </c>
      <c r="E518" s="46">
        <v>2078521.0</v>
      </c>
      <c r="F518" s="46">
        <v>0.5</v>
      </c>
      <c r="G518" s="46">
        <v>99.5</v>
      </c>
      <c r="H518" s="46">
        <v>59.43</v>
      </c>
    </row>
    <row r="519" ht="15.75" customHeight="1">
      <c r="A519" s="10">
        <v>41944.0</v>
      </c>
      <c r="B519" s="46">
        <v>52.6</v>
      </c>
      <c r="C519" s="46">
        <v>58.7</v>
      </c>
      <c r="D519" s="46">
        <v>-1.0</v>
      </c>
      <c r="E519" s="46">
        <v>2073698.0</v>
      </c>
      <c r="F519" s="46">
        <v>0.5</v>
      </c>
      <c r="G519" s="46">
        <v>99.4</v>
      </c>
      <c r="H519" s="46">
        <v>59.03</v>
      </c>
    </row>
    <row r="520" ht="15.75" customHeight="1">
      <c r="A520" s="10">
        <v>41974.0</v>
      </c>
      <c r="B520" s="46">
        <v>53.2</v>
      </c>
      <c r="C520" s="46">
        <v>56.2</v>
      </c>
      <c r="D520" s="46">
        <v>-2.0</v>
      </c>
      <c r="E520" s="46">
        <v>2070916.0</v>
      </c>
      <c r="F520" s="46">
        <v>0.5</v>
      </c>
      <c r="G520" s="46">
        <v>99.6</v>
      </c>
      <c r="H520" s="46">
        <v>60.28</v>
      </c>
    </row>
    <row r="521" ht="15.75" customHeight="1">
      <c r="A521" s="10">
        <v>42005.0</v>
      </c>
      <c r="B521" s="46">
        <v>52.3</v>
      </c>
      <c r="C521" s="46">
        <v>58.6</v>
      </c>
      <c r="D521" s="46">
        <v>-2.0</v>
      </c>
      <c r="E521" s="46">
        <v>2089931.0</v>
      </c>
      <c r="F521" s="46">
        <v>0.5</v>
      </c>
      <c r="G521" s="46">
        <v>98.8</v>
      </c>
      <c r="H521" s="46">
        <v>60.79</v>
      </c>
    </row>
    <row r="522" ht="15.75" customHeight="1">
      <c r="A522" s="10">
        <v>42036.0</v>
      </c>
      <c r="B522" s="46">
        <v>52.4</v>
      </c>
      <c r="C522" s="46">
        <v>55.8</v>
      </c>
      <c r="D522" s="46">
        <v>-4.0</v>
      </c>
      <c r="E522" s="46">
        <v>2093725.0</v>
      </c>
      <c r="F522" s="46">
        <v>0.5</v>
      </c>
      <c r="G522" s="46">
        <v>99.2</v>
      </c>
      <c r="H522" s="46">
        <v>61.76</v>
      </c>
    </row>
    <row r="523" ht="15.75" customHeight="1">
      <c r="A523" s="10">
        <v>42064.0</v>
      </c>
      <c r="B523" s="46">
        <v>54.1</v>
      </c>
      <c r="C523" s="46">
        <v>57.2</v>
      </c>
      <c r="D523" s="46">
        <v>1.0</v>
      </c>
      <c r="E523" s="46">
        <v>2091255.0</v>
      </c>
      <c r="F523" s="46">
        <v>0.5</v>
      </c>
      <c r="G523" s="46">
        <v>99.4</v>
      </c>
      <c r="H523" s="46">
        <v>61.34</v>
      </c>
    </row>
    <row r="524" ht="15.75" customHeight="1">
      <c r="A524" s="10">
        <v>42095.0</v>
      </c>
      <c r="B524" s="46">
        <v>54.0</v>
      </c>
      <c r="C524" s="46">
        <v>56.7</v>
      </c>
      <c r="D524" s="46">
        <v>1.0</v>
      </c>
      <c r="E524" s="46">
        <v>2086822.0</v>
      </c>
      <c r="F524" s="46">
        <v>0.5</v>
      </c>
      <c r="G524" s="46">
        <v>99.7</v>
      </c>
      <c r="H524" s="46">
        <v>68.08</v>
      </c>
    </row>
    <row r="525" ht="15.75" customHeight="1">
      <c r="A525" s="10">
        <v>42125.0</v>
      </c>
      <c r="B525" s="46">
        <v>52.3</v>
      </c>
      <c r="C525" s="46">
        <v>58.9</v>
      </c>
      <c r="D525" s="46">
        <v>4.0</v>
      </c>
      <c r="E525" s="46">
        <v>2101464.0</v>
      </c>
      <c r="F525" s="46">
        <v>0.5</v>
      </c>
      <c r="G525" s="46">
        <v>99.8</v>
      </c>
      <c r="H525" s="46">
        <v>64.43</v>
      </c>
    </row>
    <row r="526" ht="15.75" customHeight="1">
      <c r="A526" s="10">
        <v>42156.0</v>
      </c>
      <c r="B526" s="46">
        <v>52.2</v>
      </c>
      <c r="C526" s="46">
        <v>59.5</v>
      </c>
      <c r="D526" s="46">
        <v>4.0</v>
      </c>
      <c r="E526" s="46">
        <v>2103774.0</v>
      </c>
      <c r="F526" s="46">
        <v>0.5</v>
      </c>
      <c r="G526" s="46">
        <v>99.9</v>
      </c>
      <c r="H526" s="46">
        <v>66.58</v>
      </c>
    </row>
    <row r="527" ht="15.75" customHeight="1">
      <c r="A527" s="10">
        <v>42186.0</v>
      </c>
      <c r="B527" s="46">
        <v>51.9</v>
      </c>
      <c r="C527" s="46">
        <v>56.5</v>
      </c>
      <c r="D527" s="46">
        <v>1.0</v>
      </c>
      <c r="E527" s="46">
        <v>2112091.0</v>
      </c>
      <c r="F527" s="46">
        <v>0.5</v>
      </c>
      <c r="G527" s="46">
        <v>99.9</v>
      </c>
      <c r="H527" s="46">
        <v>68.76</v>
      </c>
    </row>
    <row r="528" ht="15.75" customHeight="1">
      <c r="A528" s="10">
        <v>42217.0</v>
      </c>
      <c r="B528" s="46">
        <v>52.5</v>
      </c>
      <c r="C528" s="46">
        <v>58.5</v>
      </c>
      <c r="D528" s="46">
        <v>7.0</v>
      </c>
      <c r="E528" s="46">
        <v>2125994.0</v>
      </c>
      <c r="F528" s="46">
        <v>0.5</v>
      </c>
      <c r="G528" s="46">
        <v>100.3</v>
      </c>
      <c r="H528" s="46">
        <v>71.03</v>
      </c>
    </row>
    <row r="529" ht="15.75" customHeight="1">
      <c r="A529" s="10">
        <v>42248.0</v>
      </c>
      <c r="B529" s="46">
        <v>51.6</v>
      </c>
      <c r="C529" s="46">
        <v>57.4</v>
      </c>
      <c r="D529" s="46">
        <v>4.0</v>
      </c>
      <c r="E529" s="46">
        <v>2121148.0</v>
      </c>
      <c r="F529" s="46">
        <v>0.5</v>
      </c>
      <c r="G529" s="46">
        <v>100.3</v>
      </c>
      <c r="H529" s="46">
        <v>68.87</v>
      </c>
    </row>
    <row r="530" ht="15.75" customHeight="1">
      <c r="A530" s="10">
        <v>42278.0</v>
      </c>
      <c r="B530" s="46">
        <v>51.6</v>
      </c>
      <c r="C530" s="46">
        <v>55.6</v>
      </c>
      <c r="D530" s="46">
        <v>7.0</v>
      </c>
      <c r="E530" s="46">
        <v>2130775.0</v>
      </c>
      <c r="F530" s="46">
        <v>0.5</v>
      </c>
      <c r="G530" s="46">
        <v>100.6</v>
      </c>
      <c r="H530" s="46">
        <v>69.63</v>
      </c>
    </row>
    <row r="531" ht="15.75" customHeight="1">
      <c r="A531" s="10">
        <v>42309.0</v>
      </c>
      <c r="B531" s="46">
        <v>54.3</v>
      </c>
      <c r="C531" s="46">
        <v>53.3</v>
      </c>
      <c r="D531" s="46">
        <v>3.0</v>
      </c>
      <c r="E531" s="46">
        <v>2160871.0</v>
      </c>
      <c r="F531" s="46">
        <v>0.5</v>
      </c>
      <c r="G531" s="46">
        <v>100.6</v>
      </c>
      <c r="H531" s="46">
        <v>70.41</v>
      </c>
    </row>
    <row r="532" ht="15.75" customHeight="1">
      <c r="A532" s="10">
        <v>42339.0</v>
      </c>
      <c r="B532" s="46">
        <v>52.3</v>
      </c>
      <c r="C532" s="46">
        <v>54.9</v>
      </c>
      <c r="D532" s="46">
        <v>2.0</v>
      </c>
      <c r="E532" s="46">
        <v>2182972.0</v>
      </c>
      <c r="F532" s="46">
        <v>0.5</v>
      </c>
      <c r="G532" s="46">
        <v>100.9</v>
      </c>
      <c r="H532" s="46">
        <v>70.84</v>
      </c>
    </row>
    <row r="533" ht="15.75" customHeight="1">
      <c r="A533" s="10">
        <v>42370.0</v>
      </c>
      <c r="B533" s="46">
        <v>51.0</v>
      </c>
      <c r="C533" s="46">
        <v>55.9</v>
      </c>
      <c r="D533" s="46">
        <v>1.0</v>
      </c>
      <c r="E533" s="46">
        <v>2184081.0</v>
      </c>
      <c r="F533" s="46">
        <v>0.5</v>
      </c>
      <c r="G533" s="46">
        <v>100.0</v>
      </c>
      <c r="H533" s="46">
        <v>74.58</v>
      </c>
    </row>
    <row r="534" ht="15.75" customHeight="1">
      <c r="A534" s="10">
        <v>42401.0</v>
      </c>
      <c r="B534" s="46">
        <v>52.2</v>
      </c>
      <c r="C534" s="46">
        <v>55.5</v>
      </c>
      <c r="D534" s="46">
        <v>2.0</v>
      </c>
      <c r="E534" s="46">
        <v>2175634.0</v>
      </c>
      <c r="F534" s="46">
        <v>0.5</v>
      </c>
      <c r="G534" s="46">
        <v>100.4</v>
      </c>
      <c r="H534" s="46">
        <v>73.87</v>
      </c>
    </row>
    <row r="535" ht="15.75" customHeight="1">
      <c r="A535" s="10">
        <v>42430.0</v>
      </c>
      <c r="B535" s="46">
        <v>50.8</v>
      </c>
      <c r="C535" s="46">
        <v>55.6</v>
      </c>
      <c r="D535" s="46">
        <v>4.0</v>
      </c>
      <c r="E535" s="46">
        <v>2180479.0</v>
      </c>
      <c r="F535" s="46">
        <v>0.5</v>
      </c>
      <c r="G535" s="46">
        <v>100.9</v>
      </c>
      <c r="H535" s="46">
        <v>71.36</v>
      </c>
    </row>
    <row r="536" ht="15.75" customHeight="1">
      <c r="A536" s="10">
        <v>42461.0</v>
      </c>
      <c r="B536" s="46">
        <v>51.1</v>
      </c>
      <c r="C536" s="46">
        <v>52.7</v>
      </c>
      <c r="D536" s="46">
        <v>0.1</v>
      </c>
      <c r="E536" s="46">
        <v>2245939.0</v>
      </c>
      <c r="F536" s="46">
        <v>0.5</v>
      </c>
      <c r="G536" s="46">
        <v>100.9</v>
      </c>
      <c r="H536" s="46">
        <v>66.25</v>
      </c>
    </row>
    <row r="537" ht="15.75" customHeight="1">
      <c r="A537" s="10">
        <v>42491.0</v>
      </c>
      <c r="B537" s="46">
        <v>50.0</v>
      </c>
      <c r="C537" s="46">
        <v>53.7</v>
      </c>
      <c r="D537" s="46">
        <v>0.1</v>
      </c>
      <c r="E537" s="46">
        <v>2252917.0</v>
      </c>
      <c r="F537" s="46">
        <v>0.5</v>
      </c>
      <c r="G537" s="46">
        <v>101.0</v>
      </c>
      <c r="H537" s="46">
        <v>67.04</v>
      </c>
    </row>
    <row r="538" ht="15.75" customHeight="1">
      <c r="A538" s="10">
        <v>42522.0</v>
      </c>
      <c r="B538" s="46">
        <v>50.7</v>
      </c>
      <c r="C538" s="46">
        <v>52.3</v>
      </c>
      <c r="D538" s="46">
        <v>-3.0</v>
      </c>
      <c r="E538" s="46">
        <v>2271444.0</v>
      </c>
      <c r="F538" s="46">
        <v>0.5</v>
      </c>
      <c r="G538" s="46">
        <v>101.3</v>
      </c>
      <c r="H538" s="46">
        <v>64.77</v>
      </c>
    </row>
    <row r="539" ht="15.75" customHeight="1">
      <c r="A539" s="10">
        <v>42552.0</v>
      </c>
      <c r="B539" s="46">
        <v>53.2</v>
      </c>
      <c r="C539" s="46">
        <v>53.5</v>
      </c>
      <c r="D539" s="46">
        <v>-1.0</v>
      </c>
      <c r="E539" s="46">
        <v>2274818.0</v>
      </c>
      <c r="F539" s="46">
        <v>0.5</v>
      </c>
      <c r="G539" s="46">
        <v>101.2</v>
      </c>
      <c r="H539" s="46">
        <v>60.91</v>
      </c>
    </row>
    <row r="540" ht="15.75" customHeight="1">
      <c r="A540" s="10">
        <v>42583.0</v>
      </c>
      <c r="B540" s="46">
        <v>48.5</v>
      </c>
      <c r="C540" s="46">
        <v>52.3</v>
      </c>
      <c r="D540" s="46">
        <v>-1.0</v>
      </c>
      <c r="E540" s="46">
        <v>2292998.0</v>
      </c>
      <c r="F540" s="46">
        <v>0.5</v>
      </c>
      <c r="G540" s="46">
        <v>101.6</v>
      </c>
      <c r="H540" s="46">
        <v>60.06</v>
      </c>
    </row>
    <row r="541" ht="15.75" customHeight="1">
      <c r="A541" s="10">
        <v>42614.0</v>
      </c>
      <c r="B541" s="46">
        <v>53.2</v>
      </c>
      <c r="C541" s="46">
        <v>47.4</v>
      </c>
      <c r="D541" s="46">
        <v>-12.0</v>
      </c>
      <c r="E541" s="46">
        <v>2281065.0</v>
      </c>
      <c r="F541" s="46">
        <v>0.5</v>
      </c>
      <c r="G541" s="46">
        <v>101.8</v>
      </c>
      <c r="H541" s="46">
        <v>62.93</v>
      </c>
    </row>
    <row r="542" ht="15.75" customHeight="1">
      <c r="A542" s="10">
        <v>42644.0</v>
      </c>
      <c r="B542" s="46">
        <v>55.6</v>
      </c>
      <c r="C542" s="46">
        <v>52.9</v>
      </c>
      <c r="D542" s="46">
        <v>-7.0</v>
      </c>
      <c r="E542" s="46">
        <v>2278112.0</v>
      </c>
      <c r="F542" s="46">
        <v>0.25</v>
      </c>
      <c r="G542" s="46">
        <v>101.8</v>
      </c>
      <c r="H542" s="46">
        <v>67.52</v>
      </c>
    </row>
    <row r="543" ht="15.75" customHeight="1">
      <c r="A543" s="10">
        <v>42675.0</v>
      </c>
      <c r="B543" s="46">
        <v>53.8</v>
      </c>
      <c r="C543" s="46">
        <v>52.6</v>
      </c>
      <c r="D543" s="46">
        <v>-1.0</v>
      </c>
      <c r="E543" s="46">
        <v>2283860.0</v>
      </c>
      <c r="F543" s="46">
        <v>0.25</v>
      </c>
      <c r="G543" s="46">
        <v>102.0</v>
      </c>
      <c r="H543" s="46">
        <v>67.5</v>
      </c>
    </row>
    <row r="544" ht="15.75" customHeight="1">
      <c r="A544" s="10">
        <v>42705.0</v>
      </c>
      <c r="B544" s="46">
        <v>53.2</v>
      </c>
      <c r="C544" s="46">
        <v>54.5</v>
      </c>
      <c r="D544" s="46">
        <v>-3.0</v>
      </c>
      <c r="E544" s="46">
        <v>2288555.0</v>
      </c>
      <c r="F544" s="46">
        <v>0.25</v>
      </c>
      <c r="G544" s="46">
        <v>102.6</v>
      </c>
      <c r="H544" s="46">
        <v>67.9</v>
      </c>
    </row>
    <row r="545" ht="15.75" customHeight="1">
      <c r="A545" s="10">
        <v>42736.0</v>
      </c>
      <c r="B545" s="46">
        <v>55.6</v>
      </c>
      <c r="C545" s="46">
        <v>55.2</v>
      </c>
      <c r="D545" s="46">
        <v>-8.0</v>
      </c>
      <c r="E545" s="46">
        <v>2291864.0</v>
      </c>
      <c r="F545" s="46">
        <v>0.25</v>
      </c>
      <c r="G545" s="46">
        <v>101.6</v>
      </c>
      <c r="H545" s="46">
        <v>69.93</v>
      </c>
    </row>
    <row r="546" ht="15.75" customHeight="1">
      <c r="A546" s="10">
        <v>42767.0</v>
      </c>
      <c r="B546" s="46">
        <v>55.2</v>
      </c>
      <c r="C546" s="46">
        <v>56.2</v>
      </c>
      <c r="D546" s="46">
        <v>-7.0</v>
      </c>
      <c r="E546" s="46">
        <v>2301056.0</v>
      </c>
      <c r="F546" s="46">
        <v>0.25</v>
      </c>
      <c r="G546" s="46">
        <v>102.4</v>
      </c>
      <c r="H546" s="46">
        <v>68.32</v>
      </c>
    </row>
    <row r="547" ht="15.75" customHeight="1">
      <c r="A547" s="10">
        <v>42795.0</v>
      </c>
      <c r="B547" s="46">
        <v>54.5</v>
      </c>
      <c r="C547" s="46">
        <v>54.5</v>
      </c>
      <c r="D547" s="46">
        <v>-5.0</v>
      </c>
      <c r="E547" s="46">
        <v>2311804.0</v>
      </c>
      <c r="F547" s="46">
        <v>0.25</v>
      </c>
      <c r="G547" s="46">
        <v>102.8</v>
      </c>
      <c r="H547" s="46">
        <v>66.84</v>
      </c>
    </row>
    <row r="548" ht="15.75" customHeight="1">
      <c r="A548" s="10">
        <v>42826.0</v>
      </c>
      <c r="B548" s="46">
        <v>54.1</v>
      </c>
      <c r="C548" s="46">
        <v>53.3</v>
      </c>
      <c r="D548" s="46">
        <v>-6.0</v>
      </c>
      <c r="E548" s="46">
        <v>2314933.0</v>
      </c>
      <c r="F548" s="46">
        <v>0.25</v>
      </c>
      <c r="G548" s="46">
        <v>103.4</v>
      </c>
      <c r="H548" s="46">
        <v>64.64</v>
      </c>
    </row>
    <row r="549" ht="15.75" customHeight="1">
      <c r="A549" s="10">
        <v>42856.0</v>
      </c>
      <c r="B549" s="46">
        <v>57.8</v>
      </c>
      <c r="C549" s="46">
        <v>55.0</v>
      </c>
      <c r="D549" s="46">
        <v>-6.0</v>
      </c>
      <c r="E549" s="46">
        <v>2304382.0</v>
      </c>
      <c r="F549" s="46">
        <v>0.25</v>
      </c>
      <c r="G549" s="46">
        <v>103.7</v>
      </c>
      <c r="H549" s="46">
        <v>65.2</v>
      </c>
    </row>
    <row r="550" ht="15.75" customHeight="1">
      <c r="A550" s="10">
        <v>42887.0</v>
      </c>
      <c r="B550" s="46">
        <v>56.6</v>
      </c>
      <c r="C550" s="46">
        <v>55.8</v>
      </c>
      <c r="D550" s="46">
        <v>-7.0</v>
      </c>
      <c r="E550" s="46">
        <v>2336270.0</v>
      </c>
      <c r="F550" s="46">
        <v>0.25</v>
      </c>
      <c r="G550" s="46">
        <v>103.8</v>
      </c>
      <c r="H550" s="46">
        <v>64.68</v>
      </c>
    </row>
    <row r="551" ht="15.75" customHeight="1">
      <c r="A551" s="10">
        <v>42917.0</v>
      </c>
      <c r="B551" s="46">
        <v>54.4</v>
      </c>
      <c r="C551" s="46">
        <v>53.8</v>
      </c>
      <c r="D551" s="46">
        <v>-5.0</v>
      </c>
      <c r="E551" s="46">
        <v>2335147.0</v>
      </c>
      <c r="F551" s="46">
        <v>0.25</v>
      </c>
      <c r="G551" s="46">
        <v>103.7</v>
      </c>
      <c r="H551" s="46">
        <v>68.69</v>
      </c>
    </row>
    <row r="552" ht="15.75" customHeight="1">
      <c r="A552" s="10">
        <v>42948.0</v>
      </c>
      <c r="B552" s="46">
        <v>55.3</v>
      </c>
      <c r="C552" s="46">
        <v>53.4</v>
      </c>
      <c r="D552" s="46">
        <v>-10.0</v>
      </c>
      <c r="E552" s="46">
        <v>2342853.0</v>
      </c>
      <c r="F552" s="46">
        <v>0.25</v>
      </c>
      <c r="G552" s="46">
        <v>104.3</v>
      </c>
      <c r="H552" s="46">
        <v>66.58</v>
      </c>
    </row>
    <row r="553" ht="15.75" customHeight="1">
      <c r="A553" s="10">
        <v>42979.0</v>
      </c>
      <c r="B553" s="46">
        <v>56.8</v>
      </c>
      <c r="C553" s="46">
        <v>53.8</v>
      </c>
      <c r="D553" s="46">
        <v>-12.0</v>
      </c>
      <c r="E553" s="46">
        <v>2349357.0</v>
      </c>
      <c r="F553" s="46">
        <v>0.25</v>
      </c>
      <c r="G553" s="46">
        <v>104.6</v>
      </c>
      <c r="H553" s="46">
        <v>66.23</v>
      </c>
    </row>
    <row r="554" ht="15.75" customHeight="1">
      <c r="A554" s="10">
        <v>43009.0</v>
      </c>
      <c r="B554" s="46">
        <v>56.0</v>
      </c>
      <c r="C554" s="46">
        <v>53.2</v>
      </c>
      <c r="D554" s="46">
        <v>-10.0</v>
      </c>
      <c r="E554" s="46">
        <v>2347170.0</v>
      </c>
      <c r="F554" s="46">
        <v>0.25</v>
      </c>
      <c r="G554" s="46">
        <v>104.6</v>
      </c>
      <c r="H554" s="46">
        <v>64.58</v>
      </c>
    </row>
    <row r="555" ht="15.75" customHeight="1">
      <c r="A555" s="10">
        <v>43040.0</v>
      </c>
      <c r="B555" s="46">
        <v>56.2</v>
      </c>
      <c r="C555" s="46">
        <v>53.6</v>
      </c>
      <c r="D555" s="46">
        <v>-9.0</v>
      </c>
      <c r="E555" s="46">
        <v>2360602.0</v>
      </c>
      <c r="F555" s="46">
        <v>0.25</v>
      </c>
      <c r="G555" s="46">
        <v>104.9</v>
      </c>
      <c r="H555" s="46">
        <v>65.14</v>
      </c>
    </row>
    <row r="556" ht="15.75" customHeight="1">
      <c r="A556" s="10">
        <v>43070.0</v>
      </c>
      <c r="B556" s="46">
        <v>58.3</v>
      </c>
      <c r="C556" s="46">
        <v>55.6</v>
      </c>
      <c r="D556" s="46">
        <v>-10.0</v>
      </c>
      <c r="E556" s="46">
        <v>2363560.0</v>
      </c>
      <c r="F556" s="46">
        <v>0.25</v>
      </c>
      <c r="G556" s="46">
        <v>105.2</v>
      </c>
      <c r="H556" s="46">
        <v>61.04</v>
      </c>
    </row>
    <row r="557" ht="15.75" customHeight="1">
      <c r="A557" s="10">
        <v>43101.0</v>
      </c>
      <c r="B557" s="46">
        <v>56.0</v>
      </c>
      <c r="C557" s="46">
        <v>53.8</v>
      </c>
      <c r="D557" s="46">
        <v>-12.0</v>
      </c>
      <c r="E557" s="46">
        <v>2342624.0</v>
      </c>
      <c r="F557" s="46">
        <v>0.5</v>
      </c>
      <c r="G557" s="46">
        <v>104.3</v>
      </c>
      <c r="H557" s="46">
        <v>67.48</v>
      </c>
    </row>
    <row r="558" ht="15.75" customHeight="1">
      <c r="A558" s="10">
        <v>43132.0</v>
      </c>
      <c r="B558" s="46">
        <v>55.0</v>
      </c>
      <c r="C558" s="46">
        <v>54.2</v>
      </c>
      <c r="D558" s="46">
        <v>-13.0</v>
      </c>
      <c r="E558" s="46">
        <v>2350158.0</v>
      </c>
      <c r="F558" s="46">
        <v>0.5</v>
      </c>
      <c r="G558" s="46">
        <v>104.9</v>
      </c>
      <c r="H558" s="46">
        <v>63.91</v>
      </c>
    </row>
    <row r="559" ht="15.75" customHeight="1">
      <c r="A559" s="10">
        <v>43160.0</v>
      </c>
      <c r="B559" s="46">
        <v>54.9</v>
      </c>
      <c r="C559" s="46">
        <v>53.0</v>
      </c>
      <c r="D559" s="46">
        <v>-9.0</v>
      </c>
      <c r="E559" s="46">
        <v>2375469.0</v>
      </c>
      <c r="F559" s="46">
        <v>0.5</v>
      </c>
      <c r="G559" s="46">
        <v>105.1</v>
      </c>
      <c r="H559" s="46">
        <v>62.91</v>
      </c>
    </row>
    <row r="560" ht="15.75" customHeight="1">
      <c r="A560" s="10">
        <v>43191.0</v>
      </c>
      <c r="B560" s="46">
        <v>54.9</v>
      </c>
      <c r="C560" s="46">
        <v>54.5</v>
      </c>
      <c r="D560" s="46">
        <v>-10.0</v>
      </c>
      <c r="E560" s="46">
        <v>2370248.0</v>
      </c>
      <c r="F560" s="46">
        <v>0.5</v>
      </c>
      <c r="G560" s="46">
        <v>105.5</v>
      </c>
      <c r="H560" s="46">
        <v>62.46</v>
      </c>
    </row>
    <row r="561" ht="15.75" customHeight="1">
      <c r="A561" s="10">
        <v>43221.0</v>
      </c>
      <c r="B561" s="46">
        <v>53.9</v>
      </c>
      <c r="C561" s="46">
        <v>51.7</v>
      </c>
      <c r="D561" s="46">
        <v>-7.0</v>
      </c>
      <c r="E561" s="46">
        <v>2371265.0</v>
      </c>
      <c r="F561" s="46">
        <v>0.5</v>
      </c>
      <c r="G561" s="46">
        <v>105.9</v>
      </c>
      <c r="H561" s="46">
        <v>64.53</v>
      </c>
    </row>
    <row r="562" ht="15.75" customHeight="1">
      <c r="A562" s="10">
        <v>43252.0</v>
      </c>
      <c r="B562" s="46">
        <v>54.3</v>
      </c>
      <c r="C562" s="46">
        <v>52.8</v>
      </c>
      <c r="D562" s="46">
        <v>-9.0</v>
      </c>
      <c r="E562" s="46">
        <v>2378854.0</v>
      </c>
      <c r="F562" s="46">
        <v>0.5</v>
      </c>
      <c r="G562" s="46">
        <v>105.7</v>
      </c>
      <c r="H562" s="46">
        <v>65.62</v>
      </c>
    </row>
    <row r="563" ht="15.75" customHeight="1">
      <c r="A563" s="10">
        <v>43282.0</v>
      </c>
      <c r="B563" s="46">
        <v>54.4</v>
      </c>
      <c r="C563" s="46">
        <v>54.0</v>
      </c>
      <c r="D563" s="46">
        <v>-7.0</v>
      </c>
      <c r="E563" s="46">
        <v>2381659.0</v>
      </c>
      <c r="F563" s="46">
        <v>0.5</v>
      </c>
      <c r="G563" s="46">
        <v>105.6</v>
      </c>
      <c r="H563" s="46">
        <v>64.77</v>
      </c>
    </row>
    <row r="564" ht="15.75" customHeight="1">
      <c r="A564" s="10">
        <v>43313.0</v>
      </c>
      <c r="B564" s="46">
        <v>54.0</v>
      </c>
      <c r="C564" s="46">
        <v>55.1</v>
      </c>
      <c r="D564" s="46">
        <v>-9.0</v>
      </c>
      <c r="E564" s="46">
        <v>2415645.0</v>
      </c>
      <c r="F564" s="46">
        <v>0.5</v>
      </c>
      <c r="G564" s="46">
        <v>106.5</v>
      </c>
      <c r="H564" s="46">
        <v>66.44</v>
      </c>
    </row>
    <row r="565" ht="15.75" customHeight="1">
      <c r="A565" s="10">
        <v>43344.0</v>
      </c>
      <c r="B565" s="46">
        <v>52.8</v>
      </c>
      <c r="C565" s="46">
        <v>53.5</v>
      </c>
      <c r="D565" s="46">
        <v>-10.0</v>
      </c>
      <c r="E565" s="46">
        <v>2412143.0</v>
      </c>
      <c r="F565" s="46">
        <v>0.5</v>
      </c>
      <c r="G565" s="46">
        <v>106.5</v>
      </c>
      <c r="H565" s="46">
        <v>65.27</v>
      </c>
    </row>
    <row r="566" ht="15.75" customHeight="1">
      <c r="A566" s="10">
        <v>43374.0</v>
      </c>
      <c r="B566" s="46">
        <v>53.8</v>
      </c>
      <c r="C566" s="46">
        <v>54.3</v>
      </c>
      <c r="D566" s="46">
        <v>-7.0</v>
      </c>
      <c r="E566" s="46">
        <v>2412358.0</v>
      </c>
      <c r="F566" s="46">
        <v>0.75</v>
      </c>
      <c r="G566" s="46">
        <v>106.5</v>
      </c>
      <c r="H566" s="46">
        <v>67.09</v>
      </c>
    </row>
    <row r="567" ht="15.75" customHeight="1">
      <c r="A567" s="10">
        <v>43405.0</v>
      </c>
      <c r="B567" s="46">
        <v>51.1</v>
      </c>
      <c r="C567" s="46">
        <v>53.9</v>
      </c>
      <c r="D567" s="46">
        <v>-9.0</v>
      </c>
      <c r="E567" s="46">
        <v>2404495.0</v>
      </c>
      <c r="F567" s="46">
        <v>0.75</v>
      </c>
      <c r="G567" s="46">
        <v>106.8</v>
      </c>
      <c r="H567" s="46">
        <v>63.73</v>
      </c>
    </row>
    <row r="568" ht="15.75" customHeight="1">
      <c r="A568" s="10">
        <v>43435.0</v>
      </c>
      <c r="B568" s="46">
        <v>53.1</v>
      </c>
      <c r="C568" s="46">
        <v>52.2</v>
      </c>
      <c r="D568" s="46">
        <v>-10.0</v>
      </c>
      <c r="E568" s="46">
        <v>2403750.0</v>
      </c>
      <c r="F568" s="46">
        <v>0.75</v>
      </c>
      <c r="G568" s="46">
        <v>107.2</v>
      </c>
      <c r="H568" s="46">
        <v>63.79</v>
      </c>
    </row>
    <row r="569" ht="15.75" customHeight="1">
      <c r="A569" s="10">
        <v>43466.0</v>
      </c>
      <c r="B569" s="46">
        <v>54.2</v>
      </c>
      <c r="C569" s="46">
        <v>50.4</v>
      </c>
      <c r="D569" s="46">
        <v>-13.0</v>
      </c>
      <c r="E569" s="46">
        <v>2414665.0</v>
      </c>
      <c r="F569" s="46">
        <v>0.75</v>
      </c>
      <c r="G569" s="46">
        <v>106.3</v>
      </c>
      <c r="H569" s="46">
        <v>66.77</v>
      </c>
    </row>
    <row r="570" ht="15.75" customHeight="1">
      <c r="A570" s="10">
        <v>43497.0</v>
      </c>
      <c r="B570" s="46">
        <v>52.8</v>
      </c>
      <c r="C570" s="46">
        <v>51.2</v>
      </c>
      <c r="D570" s="46">
        <v>-14.0</v>
      </c>
      <c r="E570" s="46">
        <v>2421438.0</v>
      </c>
      <c r="F570" s="46">
        <v>0.75</v>
      </c>
      <c r="G570" s="46">
        <v>106.9</v>
      </c>
      <c r="H570" s="46">
        <v>64.34</v>
      </c>
    </row>
    <row r="571" ht="15.75" customHeight="1">
      <c r="A571" s="10">
        <v>43525.0</v>
      </c>
      <c r="B571" s="46">
        <v>52.0</v>
      </c>
      <c r="C571" s="46">
        <v>50.1</v>
      </c>
      <c r="D571" s="46">
        <v>-14.0</v>
      </c>
      <c r="E571" s="46">
        <v>2435598.0</v>
      </c>
      <c r="F571" s="46">
        <v>0.75</v>
      </c>
      <c r="G571" s="46">
        <v>107.1</v>
      </c>
      <c r="H571" s="46">
        <v>62.34</v>
      </c>
    </row>
    <row r="572" ht="15.75" customHeight="1">
      <c r="A572" s="10">
        <v>43556.0</v>
      </c>
      <c r="B572" s="46">
        <v>55.1</v>
      </c>
      <c r="C572" s="46">
        <v>51.3</v>
      </c>
      <c r="D572" s="46">
        <v>-13.0</v>
      </c>
      <c r="E572" s="46">
        <v>2437574.0</v>
      </c>
      <c r="F572" s="46">
        <v>0.75</v>
      </c>
      <c r="G572" s="46">
        <v>107.4</v>
      </c>
      <c r="H572" s="46">
        <v>66.26</v>
      </c>
    </row>
    <row r="573" ht="15.75" customHeight="1">
      <c r="A573" s="10">
        <v>43586.0</v>
      </c>
      <c r="B573" s="46">
        <v>53.1</v>
      </c>
      <c r="C573" s="46">
        <v>48.9</v>
      </c>
      <c r="D573" s="46">
        <v>-13.0</v>
      </c>
      <c r="E573" s="46">
        <v>2441750.0</v>
      </c>
      <c r="F573" s="46">
        <v>0.75</v>
      </c>
      <c r="G573" s="46">
        <v>107.7</v>
      </c>
      <c r="H573" s="46">
        <v>65.41</v>
      </c>
    </row>
    <row r="574" ht="15.75" customHeight="1">
      <c r="A574" s="10">
        <v>43617.0</v>
      </c>
      <c r="B574" s="46">
        <v>49.4</v>
      </c>
      <c r="C574" s="46">
        <v>50.4</v>
      </c>
      <c r="D574" s="46">
        <v>-13.0</v>
      </c>
      <c r="E574" s="46">
        <v>2454441.0</v>
      </c>
      <c r="F574" s="46">
        <v>0.75</v>
      </c>
      <c r="G574" s="46">
        <v>107.6</v>
      </c>
      <c r="H574" s="46">
        <v>66.44</v>
      </c>
    </row>
    <row r="575" ht="15.75" customHeight="1">
      <c r="A575" s="10">
        <v>43647.0</v>
      </c>
      <c r="B575" s="46">
        <v>48.0</v>
      </c>
      <c r="C575" s="46">
        <v>51.0</v>
      </c>
      <c r="D575" s="46">
        <v>-10.0</v>
      </c>
      <c r="E575" s="46">
        <v>2448526.0</v>
      </c>
      <c r="F575" s="46">
        <v>0.75</v>
      </c>
      <c r="G575" s="46">
        <v>107.7</v>
      </c>
      <c r="H575" s="46">
        <v>67.31</v>
      </c>
    </row>
    <row r="576" ht="15.75" customHeight="1">
      <c r="A576" s="10">
        <v>43678.0</v>
      </c>
      <c r="B576" s="46">
        <v>48.0</v>
      </c>
      <c r="C576" s="46">
        <v>50.2</v>
      </c>
      <c r="D576" s="46">
        <v>-13.0</v>
      </c>
      <c r="E576" s="46">
        <v>2440606.0</v>
      </c>
      <c r="F576" s="46">
        <v>0.75</v>
      </c>
      <c r="G576" s="46">
        <v>108.1</v>
      </c>
      <c r="H576" s="46">
        <v>65.55</v>
      </c>
    </row>
    <row r="577" ht="15.75" customHeight="1">
      <c r="A577" s="10">
        <v>43709.0</v>
      </c>
      <c r="B577" s="46">
        <v>47.4</v>
      </c>
      <c r="C577" s="46">
        <v>51.4</v>
      </c>
      <c r="D577" s="46">
        <v>-11.0</v>
      </c>
      <c r="E577" s="46">
        <v>2443631.0</v>
      </c>
      <c r="F577" s="46">
        <v>0.75</v>
      </c>
      <c r="G577" s="46">
        <v>108.3</v>
      </c>
      <c r="H577" s="46">
        <v>65.92</v>
      </c>
    </row>
    <row r="578" ht="15.75" customHeight="1">
      <c r="A578" s="10">
        <v>43739.0</v>
      </c>
      <c r="B578" s="46">
        <v>48.3</v>
      </c>
      <c r="C578" s="46">
        <v>50.6</v>
      </c>
      <c r="D578" s="46">
        <v>-14.0</v>
      </c>
      <c r="E578" s="46">
        <v>2460138.0</v>
      </c>
      <c r="F578" s="46">
        <v>0.75</v>
      </c>
      <c r="G578" s="46">
        <v>108.4</v>
      </c>
      <c r="H578" s="46">
        <v>64.6</v>
      </c>
    </row>
    <row r="579" ht="15.75" customHeight="1">
      <c r="A579" s="10">
        <v>43770.0</v>
      </c>
      <c r="B579" s="46">
        <v>49.6</v>
      </c>
      <c r="C579" s="46">
        <v>49.5</v>
      </c>
      <c r="D579" s="46">
        <v>-12.0</v>
      </c>
      <c r="E579" s="46">
        <v>2471137.0</v>
      </c>
      <c r="F579" s="46">
        <v>0.75</v>
      </c>
      <c r="G579" s="46">
        <v>108.6</v>
      </c>
      <c r="H579" s="46">
        <v>64.99</v>
      </c>
    </row>
    <row r="580" ht="15.75" customHeight="1">
      <c r="A580" s="10">
        <v>43800.0</v>
      </c>
      <c r="B580" s="46">
        <v>48.9</v>
      </c>
      <c r="C580" s="46">
        <v>50.0</v>
      </c>
      <c r="D580" s="46">
        <v>-14.0</v>
      </c>
      <c r="E580" s="46">
        <v>2472269.0</v>
      </c>
      <c r="F580" s="46">
        <v>0.75</v>
      </c>
      <c r="G580" s="46">
        <v>108.6</v>
      </c>
      <c r="H580" s="46">
        <v>67.24</v>
      </c>
    </row>
    <row r="581" ht="15.75" customHeight="1">
      <c r="A581" s="10">
        <v>43831.0</v>
      </c>
      <c r="B581" s="46">
        <v>47.5</v>
      </c>
      <c r="C581" s="46">
        <v>49.3</v>
      </c>
      <c r="D581" s="46">
        <v>-14.0</v>
      </c>
      <c r="E581" s="46">
        <v>2600176.0</v>
      </c>
      <c r="F581" s="46">
        <v>0.75</v>
      </c>
      <c r="G581" s="46">
        <v>108.0</v>
      </c>
      <c r="H581" s="46">
        <v>70.89</v>
      </c>
    </row>
    <row r="582" ht="15.75" customHeight="1">
      <c r="A582" s="10">
        <v>43862.0</v>
      </c>
      <c r="B582" s="46">
        <v>50.0</v>
      </c>
      <c r="C582" s="46">
        <v>50.0</v>
      </c>
      <c r="D582" s="46">
        <v>-11.0</v>
      </c>
      <c r="E582" s="46">
        <v>2640566.0</v>
      </c>
      <c r="F582" s="46">
        <v>0.75</v>
      </c>
      <c r="G582" s="46">
        <v>108.6</v>
      </c>
      <c r="H582" s="46">
        <v>73.55</v>
      </c>
    </row>
    <row r="583" ht="15.75" customHeight="1">
      <c r="A583" s="10">
        <v>43891.0</v>
      </c>
      <c r="B583" s="46">
        <v>51.7</v>
      </c>
      <c r="C583" s="46">
        <v>53.9</v>
      </c>
      <c r="D583" s="46">
        <v>-9.0</v>
      </c>
      <c r="E583" s="46">
        <v>2674979.0</v>
      </c>
      <c r="F583" s="46">
        <v>0.75</v>
      </c>
      <c r="G583" s="46">
        <v>108.8</v>
      </c>
      <c r="H583" s="46">
        <v>56.16</v>
      </c>
    </row>
    <row r="584" ht="15.75" customHeight="1">
      <c r="A584" s="10">
        <v>43922.0</v>
      </c>
      <c r="B584" s="46">
        <v>47.8</v>
      </c>
      <c r="C584" s="46">
        <v>53.2</v>
      </c>
      <c r="D584" s="46">
        <v>-7.0</v>
      </c>
      <c r="E584" s="46">
        <v>2691344.0</v>
      </c>
      <c r="F584" s="46">
        <v>0.75</v>
      </c>
      <c r="G584" s="46">
        <v>108.9</v>
      </c>
      <c r="H584" s="46">
        <v>15.85</v>
      </c>
    </row>
    <row r="585" ht="15.75" customHeight="1">
      <c r="A585" s="10">
        <v>43952.0</v>
      </c>
      <c r="B585" s="46">
        <v>32.6</v>
      </c>
      <c r="C585" s="46">
        <v>34.5</v>
      </c>
      <c r="D585" s="46">
        <v>-9.0</v>
      </c>
      <c r="E585" s="46">
        <v>2713963.0</v>
      </c>
      <c r="F585" s="46">
        <v>0.1</v>
      </c>
      <c r="G585" s="46">
        <v>109.0</v>
      </c>
      <c r="H585" s="46">
        <v>9.27</v>
      </c>
    </row>
    <row r="586" ht="15.75" customHeight="1">
      <c r="A586" s="10">
        <v>43983.0</v>
      </c>
      <c r="B586" s="46">
        <v>40.7</v>
      </c>
      <c r="C586" s="46">
        <v>13.4</v>
      </c>
      <c r="D586" s="46">
        <v>-33.0</v>
      </c>
      <c r="E586" s="46">
        <v>2713066.0</v>
      </c>
      <c r="F586" s="46">
        <v>0.1</v>
      </c>
      <c r="G586" s="46">
        <v>109.17</v>
      </c>
      <c r="H586" s="46">
        <v>40.01</v>
      </c>
    </row>
    <row r="587" ht="15.75" customHeight="1">
      <c r="A587" s="10">
        <v>44013.0</v>
      </c>
      <c r="B587" s="46">
        <v>50.1</v>
      </c>
      <c r="C587" s="46">
        <v>29.0</v>
      </c>
      <c r="D587" s="46">
        <v>-34.0</v>
      </c>
      <c r="E587" s="46">
        <v>2725134.0</v>
      </c>
      <c r="F587" s="46">
        <v>0.1</v>
      </c>
      <c r="G587" s="46">
        <v>109.7</v>
      </c>
      <c r="H587" s="46">
        <v>66.3</v>
      </c>
    </row>
    <row r="588" ht="15.75" customHeight="1">
      <c r="A588" s="10">
        <v>44044.0</v>
      </c>
      <c r="B588" s="46">
        <v>53.3</v>
      </c>
      <c r="C588" s="46">
        <v>47.1</v>
      </c>
      <c r="D588" s="46">
        <v>-30.0</v>
      </c>
      <c r="E588" s="46">
        <v>2756963.0</v>
      </c>
      <c r="F588" s="46">
        <v>0.1</v>
      </c>
      <c r="G588" s="46">
        <v>109.0</v>
      </c>
      <c r="H588" s="46">
        <v>84.7</v>
      </c>
    </row>
    <row r="589" ht="15.75" customHeight="1">
      <c r="A589" s="10">
        <v>44075.0</v>
      </c>
      <c r="B589" s="46">
        <v>55.2</v>
      </c>
      <c r="C589" s="46">
        <v>56.5</v>
      </c>
      <c r="D589" s="46">
        <v>-27.0</v>
      </c>
      <c r="E589" s="46">
        <v>2767678.0</v>
      </c>
      <c r="F589" s="46">
        <v>0.1</v>
      </c>
      <c r="G589" s="46">
        <v>109.69</v>
      </c>
      <c r="H589" s="46">
        <v>91.45</v>
      </c>
    </row>
    <row r="590" ht="15.75" customHeight="1">
      <c r="A590" s="10">
        <v>44105.0</v>
      </c>
      <c r="B590" s="46">
        <v>54.1</v>
      </c>
      <c r="C590" s="46">
        <v>58.8</v>
      </c>
      <c r="D590" s="46">
        <v>-27.0</v>
      </c>
      <c r="E590" s="46">
        <v>2811560.0</v>
      </c>
      <c r="F590" s="46">
        <v>0.1</v>
      </c>
      <c r="G590" s="46">
        <v>109.9</v>
      </c>
      <c r="H590" s="46">
        <v>97.53</v>
      </c>
    </row>
    <row r="591" ht="15.75" customHeight="1">
      <c r="A591" s="10">
        <v>44136.0</v>
      </c>
      <c r="B591" s="46">
        <v>53.7</v>
      </c>
      <c r="C591" s="46">
        <v>56.1</v>
      </c>
      <c r="D591" s="46">
        <v>-25.0</v>
      </c>
      <c r="E591" s="46">
        <v>2820706.0</v>
      </c>
      <c r="F591" s="46">
        <v>0.1</v>
      </c>
      <c r="G591" s="46">
        <v>109.817</v>
      </c>
      <c r="H591" s="46">
        <v>104.97</v>
      </c>
    </row>
    <row r="592" ht="15.75" customHeight="1">
      <c r="A592" s="10">
        <v>44166.0</v>
      </c>
      <c r="B592" s="46">
        <v>55.6</v>
      </c>
      <c r="C592" s="46">
        <v>51.4</v>
      </c>
      <c r="D592" s="46">
        <v>-31.0</v>
      </c>
      <c r="E592" s="46">
        <v>2841549.0</v>
      </c>
      <c r="F592" s="46">
        <v>0.1</v>
      </c>
      <c r="G592" s="46">
        <v>110.1</v>
      </c>
      <c r="H592" s="46">
        <v>103.38</v>
      </c>
    </row>
    <row r="593" ht="15.75" customHeight="1">
      <c r="A593" s="10">
        <v>44197.0</v>
      </c>
      <c r="B593" s="46">
        <v>57.5</v>
      </c>
      <c r="C593" s="46">
        <v>47.6</v>
      </c>
      <c r="D593" s="46">
        <v>-33.0</v>
      </c>
      <c r="E593" s="46">
        <v>2862773.0</v>
      </c>
      <c r="F593" s="46">
        <v>0.1</v>
      </c>
      <c r="G593" s="46">
        <v>109.6</v>
      </c>
      <c r="H593" s="46">
        <v>98.99</v>
      </c>
    </row>
    <row r="594" ht="15.75" customHeight="1">
      <c r="A594" s="10">
        <v>44228.0</v>
      </c>
      <c r="B594" s="46">
        <v>54.1</v>
      </c>
      <c r="C594" s="46">
        <v>49.4</v>
      </c>
      <c r="D594" s="46">
        <v>-26.0</v>
      </c>
      <c r="E594" s="46">
        <v>2878460.0</v>
      </c>
      <c r="F594" s="46">
        <v>0.1</v>
      </c>
      <c r="G594" s="46">
        <v>109.6</v>
      </c>
      <c r="H594" s="46">
        <v>87.7</v>
      </c>
    </row>
    <row r="595" ht="15.75" customHeight="1">
      <c r="A595" s="10">
        <v>44256.0</v>
      </c>
      <c r="B595" s="46">
        <v>55.1</v>
      </c>
      <c r="C595" s="46">
        <v>39.5</v>
      </c>
      <c r="D595" s="46">
        <v>-28.0</v>
      </c>
      <c r="E595" s="46">
        <v>2862407.0</v>
      </c>
      <c r="F595" s="46">
        <v>0.1</v>
      </c>
      <c r="G595" s="46">
        <v>110.0</v>
      </c>
      <c r="H595" s="46">
        <v>82.74</v>
      </c>
    </row>
    <row r="596" ht="15.75" customHeight="1">
      <c r="A596" s="10">
        <v>44287.0</v>
      </c>
      <c r="B596" s="46">
        <v>58.9</v>
      </c>
      <c r="C596" s="46">
        <v>49.5</v>
      </c>
      <c r="D596" s="46">
        <v>-23.0</v>
      </c>
      <c r="E596" s="46">
        <v>2889624.0</v>
      </c>
      <c r="F596" s="46">
        <v>0.1</v>
      </c>
      <c r="G596" s="46">
        <v>110.308</v>
      </c>
      <c r="H596" s="46">
        <v>86.92</v>
      </c>
    </row>
    <row r="597" ht="15.75" customHeight="1">
      <c r="A597" s="10">
        <v>44317.0</v>
      </c>
      <c r="B597" s="46">
        <v>60.9</v>
      </c>
      <c r="C597" s="46">
        <v>56.3</v>
      </c>
      <c r="D597" s="46">
        <v>-16.0</v>
      </c>
      <c r="E597" s="46">
        <v>2896740.0</v>
      </c>
      <c r="F597" s="46">
        <v>0.1</v>
      </c>
      <c r="G597" s="46">
        <v>111.137</v>
      </c>
      <c r="H597" s="46">
        <v>87.55</v>
      </c>
    </row>
    <row r="598" ht="15.75" customHeight="1">
      <c r="A598" s="13">
        <v>44348.0</v>
      </c>
      <c r="B598" s="46">
        <v>65.6</v>
      </c>
      <c r="C598" s="46">
        <v>60.1</v>
      </c>
      <c r="D598" s="46">
        <v>-15.0</v>
      </c>
      <c r="E598" s="46">
        <v>2896859.0</v>
      </c>
      <c r="F598" s="46">
        <v>0.1</v>
      </c>
      <c r="G598" s="46">
        <v>111.7</v>
      </c>
      <c r="H598" s="46">
        <v>81.34</v>
      </c>
    </row>
    <row r="599" ht="15.75" customHeight="1">
      <c r="A599" s="10">
        <v>44378.0</v>
      </c>
      <c r="B599" s="46">
        <v>63.9</v>
      </c>
      <c r="C599" s="46">
        <v>62.9</v>
      </c>
      <c r="D599" s="46">
        <v>-9.0</v>
      </c>
      <c r="E599" s="46">
        <v>2937211.0</v>
      </c>
      <c r="F599" s="46">
        <v>0.1</v>
      </c>
      <c r="G599" s="46">
        <v>111.7</v>
      </c>
      <c r="H599" s="46">
        <v>75.15</v>
      </c>
    </row>
    <row r="600" ht="15.75" customHeight="1">
      <c r="A600" s="10">
        <v>44409.0</v>
      </c>
      <c r="B600" s="46">
        <v>60.4</v>
      </c>
      <c r="C600" s="46">
        <v>62.4</v>
      </c>
      <c r="D600" s="46">
        <v>-9.0</v>
      </c>
      <c r="E600" s="46">
        <v>2961077.0</v>
      </c>
      <c r="F600" s="46">
        <v>0.1</v>
      </c>
      <c r="G600" s="46">
        <v>112.5</v>
      </c>
      <c r="H600" s="46">
        <v>74.45</v>
      </c>
    </row>
    <row r="601" ht="15.75" customHeight="1">
      <c r="A601" s="10">
        <v>44440.0</v>
      </c>
      <c r="B601" s="46">
        <v>60.3</v>
      </c>
      <c r="C601" s="46">
        <v>59.6</v>
      </c>
      <c r="D601" s="46">
        <v>-7.0</v>
      </c>
      <c r="E601" s="46">
        <v>2978842.0</v>
      </c>
      <c r="F601" s="46">
        <v>0.1</v>
      </c>
      <c r="G601" s="46">
        <v>112.9</v>
      </c>
      <c r="H601" s="46">
        <v>72.65</v>
      </c>
    </row>
    <row r="602" ht="15.75" customHeight="1">
      <c r="A602" s="10">
        <v>44470.0</v>
      </c>
      <c r="B602" s="46">
        <v>57.1</v>
      </c>
      <c r="C602" s="46">
        <v>55.0</v>
      </c>
      <c r="D602" s="46">
        <v>-8.0</v>
      </c>
      <c r="E602" s="46">
        <v>2983868.0</v>
      </c>
      <c r="F602" s="46">
        <v>0.1</v>
      </c>
      <c r="G602" s="46">
        <v>113.7</v>
      </c>
      <c r="H602" s="46">
        <v>67.2</v>
      </c>
    </row>
    <row r="603" ht="15.75" customHeight="1">
      <c r="A603" s="10">
        <v>44501.0</v>
      </c>
      <c r="B603" s="46">
        <v>57.8</v>
      </c>
      <c r="C603" s="46">
        <v>55.4</v>
      </c>
      <c r="D603" s="46">
        <v>-13.0</v>
      </c>
      <c r="E603" s="46">
        <v>2973269.0</v>
      </c>
      <c r="F603" s="46">
        <v>0.1</v>
      </c>
      <c r="G603" s="46">
        <v>114.2</v>
      </c>
      <c r="H603" s="46">
        <v>66.96</v>
      </c>
    </row>
    <row r="604" ht="15.75" customHeight="1">
      <c r="A604" s="10">
        <v>44531.0</v>
      </c>
      <c r="B604" s="46">
        <v>58.1</v>
      </c>
      <c r="C604" s="46">
        <v>59.1</v>
      </c>
      <c r="D604" s="46">
        <v>-17.0</v>
      </c>
      <c r="E604" s="46">
        <v>2993506.0</v>
      </c>
      <c r="F604" s="46">
        <v>0.1</v>
      </c>
      <c r="G604" s="46">
        <v>114.8</v>
      </c>
      <c r="H604" s="46">
        <v>68.08</v>
      </c>
    </row>
    <row r="605" ht="15.75" customHeight="1">
      <c r="A605" s="16">
        <v>44562.0</v>
      </c>
      <c r="B605" s="46">
        <v>57.9</v>
      </c>
      <c r="C605" s="46">
        <v>58.5</v>
      </c>
      <c r="D605" s="46">
        <v>-14.0</v>
      </c>
      <c r="E605" s="46">
        <v>3031444.0</v>
      </c>
      <c r="F605" s="46">
        <v>0.1</v>
      </c>
      <c r="G605" s="46">
        <v>111.4</v>
      </c>
      <c r="H605" s="46">
        <v>71.02</v>
      </c>
    </row>
    <row r="606" ht="15.75" customHeight="1">
      <c r="A606" s="10">
        <v>44593.0</v>
      </c>
      <c r="B606" s="46">
        <v>57.3</v>
      </c>
      <c r="C606" s="46">
        <v>53.6</v>
      </c>
      <c r="D606" s="46">
        <v>-15.0</v>
      </c>
      <c r="E606" s="46">
        <v>3037813.0</v>
      </c>
      <c r="F606" s="46">
        <v>0.25</v>
      </c>
      <c r="G606" s="46">
        <v>115.3</v>
      </c>
      <c r="H606" s="46">
        <v>73.99</v>
      </c>
    </row>
    <row r="607" ht="15.75" customHeight="1">
      <c r="A607" s="16">
        <v>44621.0</v>
      </c>
      <c r="B607" s="46">
        <v>58.0</v>
      </c>
      <c r="C607" s="46">
        <v>54.1</v>
      </c>
      <c r="D607" s="46">
        <v>-19.0</v>
      </c>
      <c r="E607" s="46">
        <v>3038313.0</v>
      </c>
      <c r="F607" s="46">
        <v>0.5</v>
      </c>
      <c r="G607" s="46">
        <v>116.3</v>
      </c>
      <c r="H607" s="46">
        <v>70.99</v>
      </c>
    </row>
    <row r="608" ht="15.75" customHeight="1">
      <c r="A608" s="10">
        <v>44652.0</v>
      </c>
      <c r="B608" s="46">
        <v>55.3</v>
      </c>
      <c r="C608" s="46">
        <v>60.5</v>
      </c>
      <c r="D608" s="46">
        <v>-31.0</v>
      </c>
      <c r="E608" s="46">
        <v>3070326.0</v>
      </c>
      <c r="F608" s="46">
        <v>0.75</v>
      </c>
      <c r="G608" s="46">
        <v>117.1</v>
      </c>
      <c r="H608" s="46">
        <v>70.69</v>
      </c>
    </row>
    <row r="609" ht="15.75" customHeight="1">
      <c r="A609" s="16">
        <v>44682.0</v>
      </c>
      <c r="B609" s="46">
        <v>55.8</v>
      </c>
      <c r="C609" s="46">
        <v>62.6</v>
      </c>
      <c r="D609" s="46">
        <v>-38.0</v>
      </c>
      <c r="E609" s="46">
        <v>3082372.0</v>
      </c>
      <c r="F609" s="46">
        <v>0.75</v>
      </c>
      <c r="G609" s="46">
        <v>117.7</v>
      </c>
      <c r="H609" s="46">
        <v>65.97</v>
      </c>
    </row>
    <row r="610" ht="15.75" customHeight="1">
      <c r="A610" s="10">
        <v>44713.0</v>
      </c>
      <c r="B610" s="46">
        <v>54.6</v>
      </c>
      <c r="C610" s="46">
        <v>58.3</v>
      </c>
      <c r="D610" s="46">
        <v>-40.0</v>
      </c>
      <c r="E610" s="46">
        <v>3112903.0</v>
      </c>
      <c r="F610" s="46">
        <v>0.75</v>
      </c>
      <c r="G610" s="46">
        <v>118.2</v>
      </c>
      <c r="H610" s="46">
        <v>66.16</v>
      </c>
    </row>
    <row r="611" ht="15.75" customHeight="1">
      <c r="A611" s="16">
        <v>44743.0</v>
      </c>
      <c r="B611" s="46">
        <v>52.8</v>
      </c>
      <c r="C611" s="46">
        <v>53.4</v>
      </c>
      <c r="D611" s="46">
        <v>-41.0</v>
      </c>
      <c r="E611" s="46">
        <v>3213819.0</v>
      </c>
      <c r="F611" s="46">
        <v>1.0</v>
      </c>
      <c r="G611" s="46">
        <v>118.562</v>
      </c>
      <c r="H611" s="46">
        <v>63.73</v>
      </c>
    </row>
    <row r="612" ht="15.75" customHeight="1">
      <c r="A612" s="10">
        <v>44774.0</v>
      </c>
      <c r="B612" s="46">
        <v>52.1</v>
      </c>
      <c r="C612" s="46">
        <v>54.3</v>
      </c>
      <c r="D612" s="46">
        <v>-41.0</v>
      </c>
      <c r="E612" s="46">
        <v>3133801.0</v>
      </c>
      <c r="F612" s="46">
        <v>1.25</v>
      </c>
      <c r="G612" s="46">
        <v>119.489</v>
      </c>
      <c r="H612" s="46">
        <v>63.77</v>
      </c>
    </row>
    <row r="613" ht="15.75" customHeight="1">
      <c r="A613" s="16">
        <v>44805.0</v>
      </c>
      <c r="B613" s="46">
        <v>47.3</v>
      </c>
      <c r="C613" s="46">
        <v>52.6</v>
      </c>
      <c r="D613" s="46">
        <v>-44.0</v>
      </c>
      <c r="E613" s="46">
        <v>3098800.0</v>
      </c>
      <c r="F613" s="46">
        <v>1.75</v>
      </c>
      <c r="G613" s="46">
        <v>120.2</v>
      </c>
      <c r="H613" s="46">
        <v>74.34</v>
      </c>
    </row>
    <row r="614" ht="15.75" customHeight="1">
      <c r="A614" s="10">
        <v>44835.0</v>
      </c>
      <c r="B614" s="46">
        <v>48.4</v>
      </c>
      <c r="C614" s="46">
        <v>50.9</v>
      </c>
      <c r="D614" s="46">
        <v>-49.0</v>
      </c>
      <c r="E614" s="46">
        <v>3066368.0</v>
      </c>
      <c r="F614" s="46">
        <v>2.25</v>
      </c>
      <c r="G614" s="46">
        <v>121.044</v>
      </c>
      <c r="H614" s="46">
        <v>66.79</v>
      </c>
    </row>
    <row r="615" ht="15.75" customHeight="1">
      <c r="A615" s="16">
        <v>44866.0</v>
      </c>
      <c r="B615" s="46">
        <v>46.2</v>
      </c>
      <c r="C615" s="46">
        <v>48.8</v>
      </c>
      <c r="D615" s="46">
        <v>-47.0</v>
      </c>
      <c r="E615" s="46">
        <v>3097286.0</v>
      </c>
      <c r="F615" s="46">
        <v>3.0</v>
      </c>
      <c r="G615" s="46">
        <v>121.392</v>
      </c>
      <c r="H615" s="46">
        <v>58.98</v>
      </c>
    </row>
    <row r="616" ht="15.75" customHeight="1">
      <c r="A616" s="10">
        <v>44896.0</v>
      </c>
      <c r="B616" s="46">
        <v>46.5</v>
      </c>
      <c r="C616" s="46">
        <v>49.9</v>
      </c>
      <c r="D616" s="46">
        <v>-44.0</v>
      </c>
      <c r="E616" s="46">
        <v>3100990.0</v>
      </c>
      <c r="F616" s="46">
        <v>3.0</v>
      </c>
      <c r="G616" s="46">
        <v>122.053</v>
      </c>
      <c r="H616" s="46">
        <v>46.08</v>
      </c>
    </row>
    <row r="617" ht="15.75" customHeight="1">
      <c r="A617" s="16">
        <v>44927.0</v>
      </c>
      <c r="B617" s="46">
        <v>45.3</v>
      </c>
      <c r="C617" s="46">
        <v>48.8</v>
      </c>
      <c r="D617" s="46">
        <v>-42.0</v>
      </c>
      <c r="E617" s="46">
        <v>3060169.0</v>
      </c>
      <c r="F617" s="46">
        <v>3.5</v>
      </c>
      <c r="G617" s="46">
        <v>120.991</v>
      </c>
      <c r="H617" s="46">
        <v>35.61</v>
      </c>
    </row>
    <row r="618" ht="15.75" customHeight="1">
      <c r="A618" s="10">
        <v>44958.0</v>
      </c>
      <c r="B618" s="46">
        <v>46.8</v>
      </c>
      <c r="C618" s="46">
        <v>53.5</v>
      </c>
      <c r="D618" s="46">
        <v>-45.0</v>
      </c>
      <c r="E618" s="46">
        <v>3061343.0</v>
      </c>
      <c r="F618" s="46">
        <v>3.5</v>
      </c>
      <c r="G618" s="46">
        <v>122.432</v>
      </c>
      <c r="H618" s="46">
        <v>38.825</v>
      </c>
    </row>
    <row r="619" ht="15.75" customHeight="1">
      <c r="A619" s="16">
        <v>44986.0</v>
      </c>
      <c r="B619" s="46">
        <v>49.3</v>
      </c>
      <c r="C619" s="46">
        <v>52.8</v>
      </c>
      <c r="D619" s="46">
        <v>-38.0</v>
      </c>
      <c r="E619" s="46">
        <v>3058913.0</v>
      </c>
      <c r="F619" s="46">
        <v>4.0</v>
      </c>
      <c r="G619" s="46">
        <v>123.4</v>
      </c>
      <c r="H619" s="46">
        <v>44.162</v>
      </c>
    </row>
    <row r="620" ht="15.75" customHeight="1">
      <c r="A620" s="10">
        <v>45017.0</v>
      </c>
      <c r="B620" s="46">
        <v>47.6</v>
      </c>
      <c r="C620" s="46">
        <v>52.9</v>
      </c>
      <c r="D620" s="46">
        <v>-36.0</v>
      </c>
      <c r="E620" s="46">
        <v>3044958.0</v>
      </c>
      <c r="F620" s="46">
        <v>4.0</v>
      </c>
      <c r="G620" s="46">
        <v>123.474</v>
      </c>
      <c r="H620" s="46">
        <v>52.218</v>
      </c>
    </row>
    <row r="621" ht="15.75" customHeight="1">
      <c r="A621" s="16">
        <v>45047.0</v>
      </c>
      <c r="B621" s="46">
        <v>47.8</v>
      </c>
      <c r="C621" s="46">
        <v>55.9</v>
      </c>
      <c r="D621" s="46">
        <v>-30.0</v>
      </c>
      <c r="E621" s="46">
        <v>3045763.0</v>
      </c>
      <c r="F621" s="46">
        <v>4.25</v>
      </c>
      <c r="G621" s="46">
        <v>125.068</v>
      </c>
      <c r="H621" s="46">
        <v>51.103</v>
      </c>
    </row>
    <row r="622" ht="15.75" customHeight="1">
      <c r="A622" s="10">
        <v>45078.0</v>
      </c>
      <c r="B622" s="46">
        <v>46.9</v>
      </c>
      <c r="C622" s="46">
        <v>55.2</v>
      </c>
      <c r="D622" s="46">
        <v>-27.0</v>
      </c>
      <c r="E622" s="46">
        <v>3041017.0</v>
      </c>
      <c r="F622" s="46">
        <v>4.25</v>
      </c>
      <c r="G622" s="46">
        <v>126.1</v>
      </c>
      <c r="H622" s="46">
        <v>54.6</v>
      </c>
    </row>
    <row r="623" ht="15.75" customHeight="1">
      <c r="A623" s="16">
        <v>45108.0</v>
      </c>
      <c r="B623" s="46">
        <v>46.5</v>
      </c>
      <c r="C623" s="46">
        <v>53.7</v>
      </c>
      <c r="D623" s="46">
        <v>-24.0</v>
      </c>
      <c r="E623" s="46">
        <v>3014302.0</v>
      </c>
      <c r="F623" s="46">
        <v>4.5</v>
      </c>
      <c r="G623" s="46">
        <v>126.345</v>
      </c>
      <c r="H623" s="46">
        <v>49.525</v>
      </c>
    </row>
    <row r="624" ht="15.75" customHeight="1">
      <c r="A624" s="10">
        <v>45139.0</v>
      </c>
      <c r="B624" s="46">
        <v>45.3</v>
      </c>
      <c r="C624" s="46">
        <v>51.5</v>
      </c>
      <c r="D624" s="46">
        <v>-30.0</v>
      </c>
      <c r="E624" s="46">
        <v>3008402.0</v>
      </c>
      <c r="F624" s="46">
        <v>5.0</v>
      </c>
      <c r="G624" s="46">
        <v>126.744</v>
      </c>
      <c r="H624" s="46">
        <v>45.741</v>
      </c>
    </row>
    <row r="625" ht="15.75" customHeight="1">
      <c r="A625" s="17">
        <v>45170.0</v>
      </c>
      <c r="B625" s="46">
        <v>43.0</v>
      </c>
      <c r="C625" s="46">
        <v>49.5</v>
      </c>
      <c r="D625" s="46">
        <v>-25.0</v>
      </c>
      <c r="E625" s="46">
        <v>3031917.0</v>
      </c>
      <c r="F625" s="46">
        <v>5.25</v>
      </c>
      <c r="G625" s="46">
        <v>126.93</v>
      </c>
      <c r="H625" s="46">
        <v>44.1</v>
      </c>
    </row>
    <row r="626" ht="15.75" customHeight="1">
      <c r="A626" s="16">
        <v>45200.0</v>
      </c>
      <c r="B626" s="46">
        <v>44.3</v>
      </c>
      <c r="C626" s="46">
        <v>49.3</v>
      </c>
      <c r="D626" s="46">
        <v>-21.0</v>
      </c>
      <c r="E626" s="46">
        <v>3032024.0</v>
      </c>
      <c r="F626" s="46">
        <v>5.25</v>
      </c>
      <c r="G626" s="46">
        <v>127.531</v>
      </c>
      <c r="H626" s="46">
        <v>48.123</v>
      </c>
    </row>
    <row r="627" ht="15.75" customHeight="1">
      <c r="A627" s="10">
        <v>45231.0</v>
      </c>
      <c r="B627" s="46">
        <v>44.8</v>
      </c>
      <c r="C627" s="46">
        <v>49.5</v>
      </c>
      <c r="D627" s="46">
        <v>-30.0</v>
      </c>
      <c r="E627" s="46">
        <v>2982934.0</v>
      </c>
      <c r="F627" s="46">
        <v>5.25</v>
      </c>
      <c r="G627" s="46">
        <v>127.9</v>
      </c>
      <c r="H627" s="46">
        <v>49.313</v>
      </c>
    </row>
    <row r="628" ht="15.75" customHeight="1">
      <c r="A628" s="16">
        <v>45261.0</v>
      </c>
      <c r="B628" s="46">
        <v>47.2</v>
      </c>
      <c r="C628" s="46">
        <v>50.2</v>
      </c>
      <c r="D628" s="46">
        <v>-24.0</v>
      </c>
      <c r="E628" s="46">
        <v>3014191.0</v>
      </c>
      <c r="F628" s="46">
        <v>5.25</v>
      </c>
      <c r="G628" s="46">
        <v>127.567</v>
      </c>
      <c r="H628" s="46">
        <v>50.459</v>
      </c>
    </row>
    <row r="629" ht="15.75" customHeight="1">
      <c r="A629" s="10">
        <v>45292.0</v>
      </c>
      <c r="B629" s="46">
        <v>46.2</v>
      </c>
      <c r="C629" s="46">
        <v>46.2</v>
      </c>
      <c r="D629" s="46">
        <v>-22.0</v>
      </c>
      <c r="E629" s="46">
        <v>3013173.0</v>
      </c>
      <c r="F629" s="46">
        <v>5.25</v>
      </c>
      <c r="G629" s="46">
        <v>128.322</v>
      </c>
      <c r="H629" s="46">
        <v>55.2</v>
      </c>
    </row>
    <row r="630" ht="15.75" customHeight="1">
      <c r="A630" s="16">
        <v>45323.0</v>
      </c>
      <c r="B630" s="46">
        <v>47.0</v>
      </c>
      <c r="C630" s="46">
        <v>54.3</v>
      </c>
      <c r="D630" s="46">
        <v>-19.0</v>
      </c>
      <c r="E630" s="46">
        <v>3004181.0</v>
      </c>
      <c r="F630" s="46">
        <v>5.25</v>
      </c>
      <c r="G630" s="46">
        <v>127.11</v>
      </c>
      <c r="H630" s="46">
        <v>60.5</v>
      </c>
    </row>
    <row r="631" ht="15.75" customHeight="1">
      <c r="A631" s="10">
        <v>45352.0</v>
      </c>
      <c r="B631" s="46">
        <v>47.5</v>
      </c>
      <c r="C631" s="46">
        <v>53.8</v>
      </c>
      <c r="D631" s="46">
        <v>-21.0</v>
      </c>
      <c r="E631" s="46">
        <v>3009816.0</v>
      </c>
      <c r="F631" s="46">
        <v>5.25</v>
      </c>
      <c r="G631" s="46">
        <v>127.9</v>
      </c>
      <c r="H631" s="46">
        <v>61.3</v>
      </c>
    </row>
    <row r="632" ht="15.75" customHeight="1">
      <c r="A632" s="19">
        <v>45383.0</v>
      </c>
      <c r="B632" s="46">
        <v>50.3</v>
      </c>
      <c r="C632" s="46">
        <v>53.4</v>
      </c>
      <c r="D632" s="46">
        <v>-21.0</v>
      </c>
      <c r="E632" s="46">
        <v>3039101.0</v>
      </c>
      <c r="F632" s="46">
        <v>5.25</v>
      </c>
      <c r="G632" s="46">
        <v>128.7</v>
      </c>
      <c r="H632" s="46">
        <v>61.5</v>
      </c>
    </row>
    <row r="633" ht="15.75" customHeight="1">
      <c r="A633" s="10">
        <v>45413.0</v>
      </c>
      <c r="B633" s="46">
        <v>49.1</v>
      </c>
      <c r="C633" s="46">
        <v>55.0</v>
      </c>
      <c r="D633" s="46">
        <v>-19.0</v>
      </c>
      <c r="E633" s="46">
        <v>3030000.0</v>
      </c>
      <c r="F633" s="46">
        <v>5.25</v>
      </c>
      <c r="G633" s="46">
        <v>129.9</v>
      </c>
      <c r="H633" s="46">
        <v>61.14</v>
      </c>
    </row>
    <row r="634" ht="15.75" customHeight="1">
      <c r="A634" s="16">
        <v>45444.0</v>
      </c>
      <c r="B634" s="46">
        <v>51.2</v>
      </c>
      <c r="C634" s="46">
        <v>52.9</v>
      </c>
      <c r="D634" s="46">
        <v>-17.0</v>
      </c>
      <c r="E634" s="46">
        <v>3020000.0</v>
      </c>
      <c r="F634" s="46">
        <v>5.25</v>
      </c>
      <c r="G634" s="46">
        <v>130.5</v>
      </c>
      <c r="H634" s="46">
        <v>61.1</v>
      </c>
    </row>
    <row r="635" ht="15.75" customHeight="1">
      <c r="A635" s="10">
        <v>45474.0</v>
      </c>
      <c r="B635" s="46">
        <v>50.9</v>
      </c>
      <c r="C635" s="46">
        <v>51.2</v>
      </c>
      <c r="D635" s="46">
        <v>-14.0</v>
      </c>
      <c r="E635" s="46">
        <v>3034779.0</v>
      </c>
      <c r="F635" s="46">
        <v>5.0</v>
      </c>
      <c r="G635" s="46">
        <v>130.8</v>
      </c>
      <c r="H635" s="46">
        <v>60.75</v>
      </c>
    </row>
    <row r="636" ht="15.75" customHeight="1">
      <c r="A636" s="16">
        <v>45505.0</v>
      </c>
      <c r="B636" s="46">
        <v>52.1</v>
      </c>
      <c r="C636" s="46">
        <v>52.4</v>
      </c>
      <c r="D636" s="46">
        <v>-13.0</v>
      </c>
      <c r="E636" s="46">
        <v>3018333.0</v>
      </c>
      <c r="F636" s="46">
        <v>5.0</v>
      </c>
      <c r="G636" s="46">
        <v>130.9</v>
      </c>
      <c r="H636" s="46">
        <v>62.5</v>
      </c>
    </row>
    <row r="637" ht="15.75" customHeight="1">
      <c r="A637" s="17">
        <v>45536.0</v>
      </c>
      <c r="B637" s="46">
        <v>52.5</v>
      </c>
      <c r="C637" s="46">
        <v>53.7</v>
      </c>
      <c r="D637" s="46">
        <v>-13.0</v>
      </c>
      <c r="E637" s="46">
        <v>3040644.0</v>
      </c>
      <c r="F637" s="46">
        <v>5.0</v>
      </c>
      <c r="G637" s="46">
        <v>131.5</v>
      </c>
      <c r="H637" s="46">
        <v>64.84</v>
      </c>
    </row>
    <row r="638" ht="15.75" customHeight="1">
      <c r="A638" s="16">
        <v>45566.0</v>
      </c>
      <c r="B638" s="46">
        <v>51.5</v>
      </c>
      <c r="C638" s="46">
        <v>52.8</v>
      </c>
      <c r="D638" s="46">
        <v>-20.0</v>
      </c>
      <c r="E638" s="46">
        <v>3062782.0</v>
      </c>
      <c r="F638" s="46">
        <v>5.0</v>
      </c>
      <c r="G638" s="46">
        <v>132.1</v>
      </c>
      <c r="H638" s="46">
        <v>68.3</v>
      </c>
    </row>
    <row r="639" ht="15.75" customHeight="1">
      <c r="A639" s="17">
        <v>45597.0</v>
      </c>
      <c r="B639" s="46">
        <v>49.9</v>
      </c>
      <c r="C639" s="46">
        <v>51.8</v>
      </c>
      <c r="D639" s="46">
        <v>-21.0</v>
      </c>
      <c r="E639" s="46">
        <v>3067494.0</v>
      </c>
      <c r="F639" s="46">
        <v>4.75</v>
      </c>
      <c r="G639" s="46">
        <v>132.1</v>
      </c>
      <c r="H639" s="46">
        <v>66.04</v>
      </c>
    </row>
    <row r="640" ht="15.75" customHeight="1">
      <c r="A640" s="16">
        <v>45627.0</v>
      </c>
      <c r="B640" s="46">
        <v>48.0</v>
      </c>
      <c r="C640" s="46">
        <v>50.8</v>
      </c>
      <c r="D640" s="46">
        <v>-18.0</v>
      </c>
      <c r="E640" s="46">
        <v>3081847.0</v>
      </c>
      <c r="F640" s="46">
        <v>4.75</v>
      </c>
      <c r="G640" s="46">
        <v>132.5</v>
      </c>
      <c r="H640" s="46">
        <v>66.505</v>
      </c>
    </row>
    <row r="641" ht="15.75" customHeight="1">
      <c r="A641" s="17">
        <v>45658.0</v>
      </c>
      <c r="B641" s="46">
        <v>47.0</v>
      </c>
      <c r="C641" s="46">
        <v>51.1</v>
      </c>
      <c r="D641" s="46">
        <v>-17.0</v>
      </c>
      <c r="E641" s="46">
        <v>3117742.0</v>
      </c>
      <c r="F641" s="46">
        <v>4.75</v>
      </c>
      <c r="G641" s="46">
        <v>131.2</v>
      </c>
      <c r="H641" s="46">
        <v>66.04</v>
      </c>
    </row>
    <row r="642" ht="15.75" customHeight="1">
      <c r="A642" s="16">
        <v>45689.0</v>
      </c>
      <c r="B642" s="46">
        <v>48.3</v>
      </c>
      <c r="C642" s="46">
        <v>51.2</v>
      </c>
      <c r="D642" s="46">
        <v>-22.0</v>
      </c>
      <c r="E642" s="46">
        <v>3112000.0</v>
      </c>
      <c r="F642" s="46">
        <v>4.5</v>
      </c>
      <c r="G642" s="46">
        <v>132.4</v>
      </c>
      <c r="H642" s="46">
        <v>65.09</v>
      </c>
    </row>
    <row r="643" ht="15.75" customHeight="1">
      <c r="A643" s="17">
        <v>45717.0</v>
      </c>
      <c r="B643" s="46">
        <v>46.9</v>
      </c>
      <c r="C643" s="46">
        <v>51.1</v>
      </c>
      <c r="D643" s="46">
        <v>-20.0</v>
      </c>
      <c r="E643" s="46">
        <v>3114267.0</v>
      </c>
      <c r="F643" s="46">
        <v>4.5</v>
      </c>
      <c r="G643" s="46">
        <v>133.1</v>
      </c>
      <c r="H643" s="46">
        <v>64.31</v>
      </c>
    </row>
    <row r="644" ht="15.75" customHeight="1">
      <c r="A644" s="16">
        <v>45748.0</v>
      </c>
      <c r="B644" s="46">
        <v>44.9</v>
      </c>
      <c r="C644" s="46">
        <v>52.5</v>
      </c>
      <c r="D644" s="46">
        <v>-19.0</v>
      </c>
      <c r="E644" s="46">
        <v>3118941.0</v>
      </c>
      <c r="F644" s="46">
        <v>4.5</v>
      </c>
      <c r="G644" s="46">
        <v>135.0</v>
      </c>
      <c r="H644" s="46">
        <v>60.5</v>
      </c>
    </row>
    <row r="645" ht="15.75" customHeight="1">
      <c r="A645" s="17">
        <v>45778.0</v>
      </c>
      <c r="B645" s="46">
        <v>45.4</v>
      </c>
      <c r="C645" s="46">
        <v>48.9</v>
      </c>
      <c r="D645" s="46">
        <v>-23.0</v>
      </c>
      <c r="E645" s="46">
        <v>3109278.0</v>
      </c>
      <c r="F645" s="46">
        <v>4.25</v>
      </c>
      <c r="G645" s="46">
        <v>135.1</v>
      </c>
      <c r="H645" s="46">
        <v>63.032</v>
      </c>
    </row>
    <row r="646" ht="15.75" customHeight="1">
      <c r="A646" s="16">
        <v>45809.0</v>
      </c>
      <c r="B646" s="46">
        <v>46.4</v>
      </c>
      <c r="C646" s="46">
        <v>50.2</v>
      </c>
      <c r="D646" s="46">
        <v>-20.0</v>
      </c>
      <c r="E646" s="46">
        <v>3112250.0</v>
      </c>
      <c r="F646" s="46">
        <v>4.25</v>
      </c>
      <c r="G646" s="46">
        <v>135.6</v>
      </c>
      <c r="H646" s="46">
        <v>64.167</v>
      </c>
    </row>
    <row r="647" ht="15.75" customHeight="1">
      <c r="A647" s="17">
        <v>45839.0</v>
      </c>
      <c r="B647" s="46">
        <v>47.7</v>
      </c>
      <c r="C647" s="46">
        <v>52.8</v>
      </c>
      <c r="D647" s="46">
        <v>-18.0</v>
      </c>
      <c r="E647" s="46">
        <v>3164152.0</v>
      </c>
      <c r="F647" s="46">
        <v>4.25</v>
      </c>
      <c r="G647" s="46">
        <v>135.8</v>
      </c>
      <c r="H647" s="46">
        <v>65.352</v>
      </c>
    </row>
    <row r="648" ht="15.75" customHeight="1">
      <c r="A648" s="16">
        <v>45870.0</v>
      </c>
      <c r="B648" s="46">
        <v>48.0</v>
      </c>
      <c r="C648" s="46">
        <v>51.2</v>
      </c>
      <c r="D648" s="46">
        <v>-19.0</v>
      </c>
      <c r="E648" s="46">
        <v>3188989.0</v>
      </c>
      <c r="F648" s="46">
        <v>4.0</v>
      </c>
      <c r="G648" s="46">
        <v>136.2</v>
      </c>
      <c r="H648" s="46">
        <v>64.7</v>
      </c>
    </row>
    <row r="649" ht="15.75" customHeight="1">
      <c r="A649" s="17">
        <v>45901.0</v>
      </c>
      <c r="B649" s="46">
        <v>47.0</v>
      </c>
      <c r="C649" s="46">
        <v>54.2</v>
      </c>
      <c r="D649" s="46">
        <v>-17.0</v>
      </c>
      <c r="E649" s="46">
        <v>3133659.0</v>
      </c>
      <c r="F649" s="46">
        <v>4.0</v>
      </c>
      <c r="G649" s="46">
        <v>136.2</v>
      </c>
      <c r="H649" s="46">
        <v>65.9</v>
      </c>
    </row>
    <row r="650" ht="15.75" customHeight="1">
      <c r="A650" s="17">
        <v>45931.0</v>
      </c>
      <c r="B650" s="46">
        <v>46.2</v>
      </c>
      <c r="C650" s="46">
        <v>50.8</v>
      </c>
      <c r="D650" s="46">
        <v>-19.0</v>
      </c>
      <c r="E650" s="46">
        <v>3164244.0</v>
      </c>
      <c r="F650" s="46">
        <v>4.0</v>
      </c>
      <c r="G650" s="47">
        <v>136.6</v>
      </c>
      <c r="H650" s="47">
        <v>65.018</v>
      </c>
    </row>
    <row r="651" ht="15.75" customHeight="1">
      <c r="A651" s="17">
        <v>45962.0</v>
      </c>
      <c r="B651" s="46">
        <v>49.7</v>
      </c>
      <c r="C651" s="47">
        <v>52.2</v>
      </c>
      <c r="D651" s="46">
        <v>-17.0</v>
      </c>
      <c r="E651" s="47">
        <v>3178942.0</v>
      </c>
      <c r="F651" s="47">
        <v>4.0</v>
      </c>
      <c r="G651" s="47">
        <v>136.3</v>
      </c>
      <c r="H651" s="47">
        <v>61.013</v>
      </c>
    </row>
    <row r="652" ht="15.75" customHeight="1">
      <c r="A652" s="30">
        <v>45992.0</v>
      </c>
      <c r="B652" s="48">
        <v>50.2</v>
      </c>
      <c r="C652" s="48">
        <v>51.3</v>
      </c>
      <c r="D652" s="48">
        <v>-19.0</v>
      </c>
      <c r="E652" s="48">
        <v>3201624.0</v>
      </c>
      <c r="F652" s="48">
        <v>4.0</v>
      </c>
      <c r="G652" s="48">
        <v>136.7</v>
      </c>
      <c r="H652" s="48">
        <v>61.007</v>
      </c>
    </row>
    <row r="653" ht="15.75" customHeight="1">
      <c r="A653" s="49">
        <v>46023.0</v>
      </c>
      <c r="B653" s="48">
        <v>51.2</v>
      </c>
      <c r="C653" s="48">
        <v>52.1</v>
      </c>
      <c r="D653" s="48">
        <v>-17.0</v>
      </c>
      <c r="E653" s="48">
        <v>3194389.0</v>
      </c>
      <c r="F653" s="48">
        <v>3.75</v>
      </c>
      <c r="G653" s="48">
        <v>135.9</v>
      </c>
      <c r="H653" s="48">
        <v>59.999</v>
      </c>
    </row>
    <row r="654" ht="15.75" customHeight="1">
      <c r="A654" s="30">
        <v>46054.0</v>
      </c>
      <c r="B654" s="48">
        <v>51.8</v>
      </c>
      <c r="C654" s="48">
        <v>54.3</v>
      </c>
      <c r="D654" s="48">
        <v>-16.0</v>
      </c>
      <c r="E654" s="48">
        <v>3198023.0</v>
      </c>
      <c r="F654" s="48">
        <v>3.75</v>
      </c>
      <c r="G654" s="48">
        <v>136.7</v>
      </c>
      <c r="H654" s="48">
        <v>62.854</v>
      </c>
    </row>
    <row r="655" ht="15.75" customHeight="1">
      <c r="A655" s="49">
        <v>46082.0</v>
      </c>
      <c r="B655" s="48">
        <v>51.7</v>
      </c>
      <c r="C655" s="48">
        <v>53.9</v>
      </c>
      <c r="D655" s="48">
        <v>-19.0</v>
      </c>
      <c r="E655" s="48">
        <v>3199976.0</v>
      </c>
      <c r="F655" s="48">
        <v>3.75</v>
      </c>
      <c r="G655" s="48">
        <v>137.2</v>
      </c>
      <c r="H655" s="48">
        <v>63.531</v>
      </c>
    </row>
    <row r="656" ht="15.75" customHeight="1">
      <c r="A656" s="49">
        <v>46113.0</v>
      </c>
      <c r="B656" s="48">
        <v>51.0</v>
      </c>
      <c r="C656" s="48">
        <v>50.5</v>
      </c>
      <c r="D656" s="48">
        <v>-21.0</v>
      </c>
      <c r="E656" s="50">
        <v>3221332.0</v>
      </c>
      <c r="F656" s="48">
        <v>3.75</v>
      </c>
      <c r="G656" s="51">
        <v>138.2</v>
      </c>
      <c r="H656" s="50">
        <v>56.2</v>
      </c>
    </row>
    <row r="657" ht="15.75" customHeight="1">
      <c r="A657" s="49">
        <v>46143.0</v>
      </c>
      <c r="B657" s="48">
        <v>53.7</v>
      </c>
      <c r="C657" s="48">
        <v>52.0</v>
      </c>
      <c r="D657" s="48">
        <v>-25.0</v>
      </c>
      <c r="F657" s="48">
        <v>3.75</v>
      </c>
      <c r="G657" s="50">
        <v>138.6</v>
      </c>
    </row>
    <row r="658" ht="15.75" customHeight="1">
      <c r="A658" s="38">
        <v>46174.0</v>
      </c>
      <c r="B658" s="51">
        <v>53.9</v>
      </c>
      <c r="C658" s="50">
        <v>49.3</v>
      </c>
      <c r="D658" s="51">
        <v>-23.0</v>
      </c>
      <c r="F658" s="50">
        <v>3.75</v>
      </c>
    </row>
    <row r="659" ht="15.75" customHeight="1">
      <c r="A659" s="23">
        <v>46204.0</v>
      </c>
      <c r="B659" s="50">
        <v>52.5</v>
      </c>
      <c r="C659" s="50">
        <v>48.8</v>
      </c>
      <c r="D659" s="50">
        <v>-23.0</v>
      </c>
    </row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2" width="10.44"/>
    <col customWidth="1" min="3" max="3" width="17.11"/>
    <col customWidth="1" min="4" max="4" width="12.67"/>
    <col customWidth="1" min="5" max="5" width="16.11"/>
    <col customWidth="1" min="6" max="6" width="14.33"/>
    <col customWidth="1" min="7" max="7" width="11.11"/>
    <col customWidth="1" min="8" max="8" width="10.44"/>
    <col customWidth="1" min="9" max="9" width="17.33"/>
    <col customWidth="1" min="10" max="11" width="18.67"/>
    <col customWidth="1" min="12" max="12" width="15.44"/>
    <col customWidth="1" min="13" max="13" width="11.78"/>
    <col customWidth="1" min="14" max="14" width="11.22"/>
  </cols>
  <sheetData>
    <row r="1" ht="15.75" customHeight="1">
      <c r="A1" s="52" t="s">
        <v>0</v>
      </c>
      <c r="B1" s="53" t="s">
        <v>102</v>
      </c>
      <c r="C1" s="53" t="s">
        <v>103</v>
      </c>
      <c r="D1" s="53" t="s">
        <v>104</v>
      </c>
      <c r="E1" s="53" t="s">
        <v>105</v>
      </c>
      <c r="F1" s="53" t="s">
        <v>106</v>
      </c>
      <c r="G1" s="53" t="s">
        <v>107</v>
      </c>
      <c r="H1" s="53" t="s">
        <v>108</v>
      </c>
      <c r="I1" s="53" t="s">
        <v>109</v>
      </c>
      <c r="J1" s="53" t="s">
        <v>110</v>
      </c>
      <c r="K1" s="53" t="s">
        <v>111</v>
      </c>
      <c r="L1" s="53" t="s">
        <v>112</v>
      </c>
      <c r="M1" s="53" t="s">
        <v>113</v>
      </c>
      <c r="N1" s="54" t="s">
        <v>114</v>
      </c>
    </row>
    <row r="2" ht="15.75" customHeight="1">
      <c r="A2" s="10">
        <v>31382.0</v>
      </c>
      <c r="B2" s="55">
        <v>100.285</v>
      </c>
      <c r="C2" s="55">
        <v>9.0</v>
      </c>
      <c r="D2" s="55">
        <v>31.0</v>
      </c>
      <c r="E2" s="55">
        <v>4.0</v>
      </c>
      <c r="F2" s="55">
        <v>11.0</v>
      </c>
      <c r="G2" s="55">
        <v>24.0</v>
      </c>
      <c r="H2" s="55">
        <v>15.8</v>
      </c>
      <c r="I2" s="55">
        <v>101.735</v>
      </c>
      <c r="J2" s="55">
        <v>101.279</v>
      </c>
      <c r="K2" s="55">
        <v>99.452</v>
      </c>
      <c r="L2" s="55">
        <v>100.548</v>
      </c>
      <c r="M2" s="55">
        <v>97.9</v>
      </c>
      <c r="N2" s="56"/>
    </row>
    <row r="3" ht="15.75" customHeight="1">
      <c r="A3" s="10">
        <v>31413.0</v>
      </c>
      <c r="B3" s="55">
        <v>99.7915</v>
      </c>
      <c r="C3" s="55">
        <v>8.0</v>
      </c>
      <c r="D3" s="55">
        <v>29.0</v>
      </c>
      <c r="E3" s="55">
        <v>4.0</v>
      </c>
      <c r="F3" s="55">
        <v>13.0</v>
      </c>
      <c r="G3" s="55">
        <v>26.0</v>
      </c>
      <c r="H3" s="55">
        <v>16.0</v>
      </c>
      <c r="I3" s="55">
        <v>98.265</v>
      </c>
      <c r="J3" s="55">
        <v>102.466</v>
      </c>
      <c r="K3" s="55">
        <v>98.082</v>
      </c>
      <c r="L3" s="55">
        <v>103.379</v>
      </c>
      <c r="M3" s="55">
        <v>97.534</v>
      </c>
      <c r="N3" s="56"/>
    </row>
    <row r="4" ht="15.75" customHeight="1">
      <c r="A4" s="10">
        <v>31444.0</v>
      </c>
      <c r="B4" s="55">
        <v>101.463</v>
      </c>
      <c r="C4" s="55">
        <v>14.0</v>
      </c>
      <c r="D4" s="55">
        <v>28.0</v>
      </c>
      <c r="E4" s="55">
        <v>3.0</v>
      </c>
      <c r="F4" s="55">
        <v>19.0</v>
      </c>
      <c r="G4" s="55">
        <v>25.0</v>
      </c>
      <c r="H4" s="55">
        <v>17.8</v>
      </c>
      <c r="I4" s="55">
        <v>102.648</v>
      </c>
      <c r="J4" s="55">
        <v>104.201</v>
      </c>
      <c r="K4" s="55">
        <v>95.982</v>
      </c>
      <c r="L4" s="55">
        <v>97.443</v>
      </c>
      <c r="M4" s="55">
        <v>100.183</v>
      </c>
      <c r="N4" s="56"/>
    </row>
    <row r="5" ht="15.75" customHeight="1">
      <c r="A5" s="10">
        <v>31472.0</v>
      </c>
      <c r="B5" s="55">
        <v>101.015</v>
      </c>
      <c r="C5" s="55">
        <v>9.0</v>
      </c>
      <c r="D5" s="55">
        <v>32.0</v>
      </c>
      <c r="E5" s="55">
        <v>2.0</v>
      </c>
      <c r="F5" s="55">
        <v>17.0</v>
      </c>
      <c r="G5" s="55">
        <v>28.0</v>
      </c>
      <c r="H5" s="55">
        <v>17.6</v>
      </c>
      <c r="I5" s="55">
        <v>102.192</v>
      </c>
      <c r="J5" s="55">
        <v>102.831</v>
      </c>
      <c r="K5" s="55">
        <v>103.196</v>
      </c>
      <c r="L5" s="55">
        <v>100.731</v>
      </c>
      <c r="M5" s="55">
        <v>98.174</v>
      </c>
      <c r="N5" s="56"/>
    </row>
    <row r="6" ht="15.75" customHeight="1">
      <c r="A6" s="10">
        <v>31503.0</v>
      </c>
      <c r="B6" s="55">
        <v>101.956</v>
      </c>
      <c r="C6" s="55">
        <v>9.0</v>
      </c>
      <c r="D6" s="55">
        <v>34.0</v>
      </c>
      <c r="E6" s="55">
        <v>6.0</v>
      </c>
      <c r="F6" s="55">
        <v>14.0</v>
      </c>
      <c r="G6" s="55">
        <v>27.0</v>
      </c>
      <c r="H6" s="55">
        <v>18.0</v>
      </c>
      <c r="I6" s="55">
        <v>101.644</v>
      </c>
      <c r="J6" s="55">
        <v>103.47</v>
      </c>
      <c r="K6" s="55">
        <v>101.461</v>
      </c>
      <c r="L6" s="55">
        <v>106.301</v>
      </c>
      <c r="M6" s="55">
        <v>98.995</v>
      </c>
      <c r="N6" s="56"/>
    </row>
    <row r="7" ht="15.75" customHeight="1">
      <c r="A7" s="10">
        <v>31533.0</v>
      </c>
      <c r="B7" s="55">
        <v>101.289</v>
      </c>
      <c r="C7" s="55">
        <v>10.0</v>
      </c>
      <c r="D7" s="55">
        <v>30.0</v>
      </c>
      <c r="E7" s="55">
        <v>3.0</v>
      </c>
      <c r="F7" s="55">
        <v>17.0</v>
      </c>
      <c r="G7" s="55">
        <v>24.0</v>
      </c>
      <c r="H7" s="55">
        <v>16.8</v>
      </c>
      <c r="I7" s="55">
        <v>99.269</v>
      </c>
      <c r="J7" s="55">
        <v>103.014</v>
      </c>
      <c r="K7" s="55">
        <v>92.055</v>
      </c>
      <c r="L7" s="55">
        <v>104.932</v>
      </c>
      <c r="M7" s="55">
        <v>100.639</v>
      </c>
      <c r="N7" s="56"/>
    </row>
    <row r="8" ht="15.75" customHeight="1">
      <c r="A8" s="10">
        <v>31564.0</v>
      </c>
      <c r="B8" s="55">
        <v>99.8372</v>
      </c>
      <c r="C8" s="55">
        <v>8.0</v>
      </c>
      <c r="D8" s="55">
        <v>31.0</v>
      </c>
      <c r="E8" s="55">
        <v>4.0</v>
      </c>
      <c r="F8" s="55">
        <v>9.0</v>
      </c>
      <c r="G8" s="55">
        <v>28.0</v>
      </c>
      <c r="H8" s="55">
        <v>16.0</v>
      </c>
      <c r="I8" s="55">
        <v>98.904</v>
      </c>
      <c r="J8" s="55">
        <v>103.196</v>
      </c>
      <c r="K8" s="55">
        <v>95.342</v>
      </c>
      <c r="L8" s="55">
        <v>98.447</v>
      </c>
      <c r="M8" s="55">
        <v>99.543</v>
      </c>
      <c r="N8" s="56"/>
    </row>
    <row r="9" ht="15.75" customHeight="1">
      <c r="A9" s="10">
        <v>31594.0</v>
      </c>
      <c r="B9" s="55">
        <v>98.8144</v>
      </c>
      <c r="C9" s="55">
        <v>5.0</v>
      </c>
      <c r="D9" s="55">
        <v>30.0</v>
      </c>
      <c r="E9" s="55">
        <v>-3.0</v>
      </c>
      <c r="F9" s="55">
        <v>10.0</v>
      </c>
      <c r="G9" s="55">
        <v>14.0</v>
      </c>
      <c r="H9" s="55">
        <v>11.2</v>
      </c>
      <c r="I9" s="55">
        <v>92.42</v>
      </c>
      <c r="J9" s="55">
        <v>97.169</v>
      </c>
      <c r="K9" s="55">
        <v>94.247</v>
      </c>
      <c r="L9" s="55">
        <v>98.539</v>
      </c>
      <c r="M9" s="55">
        <v>96.438</v>
      </c>
      <c r="N9" s="56"/>
    </row>
    <row r="10" ht="15.75" customHeight="1">
      <c r="A10" s="10">
        <v>31625.0</v>
      </c>
      <c r="B10" s="55">
        <v>98.5861</v>
      </c>
      <c r="C10" s="55">
        <v>2.0</v>
      </c>
      <c r="D10" s="55">
        <v>31.0</v>
      </c>
      <c r="E10" s="55">
        <v>3.0</v>
      </c>
      <c r="F10" s="55">
        <v>6.0</v>
      </c>
      <c r="G10" s="55">
        <v>14.0</v>
      </c>
      <c r="H10" s="55">
        <v>11.2</v>
      </c>
      <c r="I10" s="55">
        <v>99.087</v>
      </c>
      <c r="J10" s="55">
        <v>99.087</v>
      </c>
      <c r="K10" s="55">
        <v>98.174</v>
      </c>
      <c r="L10" s="55">
        <v>95.525</v>
      </c>
      <c r="M10" s="55">
        <v>95.068</v>
      </c>
      <c r="N10" s="56"/>
    </row>
    <row r="11" ht="15.75" customHeight="1">
      <c r="A11" s="10">
        <v>31656.0</v>
      </c>
      <c r="B11" s="55">
        <v>98.7596</v>
      </c>
      <c r="C11" s="55">
        <v>7.0</v>
      </c>
      <c r="D11" s="55">
        <v>30.0</v>
      </c>
      <c r="E11" s="55">
        <v>3.0</v>
      </c>
      <c r="F11" s="55">
        <v>7.0</v>
      </c>
      <c r="G11" s="55">
        <v>26.0</v>
      </c>
      <c r="H11" s="55">
        <v>14.6</v>
      </c>
      <c r="I11" s="55">
        <v>99.178</v>
      </c>
      <c r="J11" s="55">
        <v>102.466</v>
      </c>
      <c r="K11" s="55">
        <v>98.721</v>
      </c>
      <c r="L11" s="55">
        <v>99.635</v>
      </c>
      <c r="M11" s="55">
        <v>98.082</v>
      </c>
      <c r="N11" s="56"/>
    </row>
    <row r="12" ht="15.75" customHeight="1">
      <c r="A12" s="10">
        <v>31686.0</v>
      </c>
      <c r="B12" s="55">
        <v>97.536</v>
      </c>
      <c r="C12" s="55">
        <v>6.0</v>
      </c>
      <c r="D12" s="55">
        <v>28.0</v>
      </c>
      <c r="E12" s="55">
        <v>-5.0</v>
      </c>
      <c r="F12" s="55">
        <v>4.0</v>
      </c>
      <c r="G12" s="55">
        <v>28.0</v>
      </c>
      <c r="H12" s="55">
        <v>12.2</v>
      </c>
      <c r="I12" s="55">
        <v>99.543</v>
      </c>
      <c r="J12" s="55">
        <v>100.822</v>
      </c>
      <c r="K12" s="55">
        <v>103.653</v>
      </c>
      <c r="L12" s="55">
        <v>95.434</v>
      </c>
      <c r="M12" s="55">
        <v>94.886</v>
      </c>
      <c r="N12" s="56"/>
    </row>
    <row r="13" ht="15.75" customHeight="1">
      <c r="A13" s="10">
        <v>31717.0</v>
      </c>
      <c r="B13" s="55">
        <v>100.668</v>
      </c>
      <c r="C13" s="55">
        <v>9.0</v>
      </c>
      <c r="D13" s="55">
        <v>29.0</v>
      </c>
      <c r="E13" s="55">
        <v>5.0</v>
      </c>
      <c r="F13" s="55">
        <v>4.0</v>
      </c>
      <c r="G13" s="55">
        <v>26.0</v>
      </c>
      <c r="H13" s="55">
        <v>14.6</v>
      </c>
      <c r="I13" s="55">
        <v>102.466</v>
      </c>
      <c r="J13" s="55">
        <v>101.37</v>
      </c>
      <c r="K13" s="55">
        <v>99.178</v>
      </c>
      <c r="L13" s="55">
        <v>93.242</v>
      </c>
      <c r="M13" s="55">
        <v>98.813</v>
      </c>
      <c r="N13" s="56"/>
    </row>
    <row r="14" ht="15.75" customHeight="1">
      <c r="A14" s="10">
        <v>31747.0</v>
      </c>
      <c r="B14" s="55">
        <v>100.102</v>
      </c>
      <c r="C14" s="55">
        <v>7.0</v>
      </c>
      <c r="D14" s="55">
        <v>30.0</v>
      </c>
      <c r="E14" s="55">
        <v>5.0</v>
      </c>
      <c r="F14" s="55">
        <v>7.0</v>
      </c>
      <c r="G14" s="55">
        <v>24.0</v>
      </c>
      <c r="H14" s="55">
        <v>14.6</v>
      </c>
      <c r="I14" s="55">
        <v>98.995</v>
      </c>
      <c r="J14" s="55">
        <v>104.84</v>
      </c>
      <c r="K14" s="55">
        <v>100.913</v>
      </c>
      <c r="L14" s="55">
        <v>101.187</v>
      </c>
      <c r="M14" s="55">
        <v>97.9</v>
      </c>
      <c r="N14" s="56"/>
    </row>
    <row r="15" ht="15.75" customHeight="1">
      <c r="A15" s="10">
        <v>31778.0</v>
      </c>
      <c r="B15" s="55">
        <v>100.613</v>
      </c>
      <c r="C15" s="55">
        <v>8.0</v>
      </c>
      <c r="D15" s="55">
        <v>29.0</v>
      </c>
      <c r="E15" s="55">
        <v>6.0</v>
      </c>
      <c r="F15" s="55">
        <v>12.0</v>
      </c>
      <c r="G15" s="55">
        <v>27.0</v>
      </c>
      <c r="H15" s="55">
        <v>16.4</v>
      </c>
      <c r="I15" s="55">
        <v>101.37</v>
      </c>
      <c r="J15" s="55">
        <v>104.932</v>
      </c>
      <c r="K15" s="55">
        <v>94.155</v>
      </c>
      <c r="L15" s="55">
        <v>99.726</v>
      </c>
      <c r="M15" s="55">
        <v>98.721</v>
      </c>
      <c r="N15" s="56"/>
    </row>
    <row r="16" ht="15.75" customHeight="1">
      <c r="A16" s="10">
        <v>31809.0</v>
      </c>
      <c r="B16" s="55">
        <v>101.189</v>
      </c>
      <c r="C16" s="55">
        <v>10.0</v>
      </c>
      <c r="D16" s="55">
        <v>33.0</v>
      </c>
      <c r="E16" s="55">
        <v>4.0</v>
      </c>
      <c r="F16" s="55">
        <v>11.0</v>
      </c>
      <c r="G16" s="55">
        <v>27.0</v>
      </c>
      <c r="H16" s="55">
        <v>17.0</v>
      </c>
      <c r="I16" s="55">
        <v>101.096</v>
      </c>
      <c r="J16" s="55">
        <v>104.475</v>
      </c>
      <c r="K16" s="55">
        <v>109.863</v>
      </c>
      <c r="L16" s="55">
        <v>103.744</v>
      </c>
      <c r="M16" s="55">
        <v>98.265</v>
      </c>
      <c r="N16" s="56"/>
    </row>
    <row r="17" ht="15.75" customHeight="1">
      <c r="A17" s="10">
        <v>31837.0</v>
      </c>
      <c r="B17" s="55">
        <v>100.102</v>
      </c>
      <c r="C17" s="55">
        <v>10.0</v>
      </c>
      <c r="D17" s="55">
        <v>31.0</v>
      </c>
      <c r="E17" s="55">
        <v>5.0</v>
      </c>
      <c r="F17" s="55">
        <v>7.0</v>
      </c>
      <c r="G17" s="55">
        <v>29.0</v>
      </c>
      <c r="H17" s="55">
        <v>16.4</v>
      </c>
      <c r="I17" s="55">
        <v>100.913</v>
      </c>
      <c r="J17" s="55">
        <v>104.292</v>
      </c>
      <c r="K17" s="55">
        <v>103.47</v>
      </c>
      <c r="L17" s="55">
        <v>100.365</v>
      </c>
      <c r="M17" s="55">
        <v>98.447</v>
      </c>
      <c r="N17" s="56"/>
    </row>
    <row r="18" ht="15.75" customHeight="1">
      <c r="A18" s="10">
        <v>31868.0</v>
      </c>
      <c r="B18" s="55">
        <v>99.8554</v>
      </c>
      <c r="C18" s="55">
        <v>11.0</v>
      </c>
      <c r="D18" s="55">
        <v>30.0</v>
      </c>
      <c r="E18" s="55">
        <v>4.0</v>
      </c>
      <c r="F18" s="55">
        <v>2.0</v>
      </c>
      <c r="G18" s="55">
        <v>27.0</v>
      </c>
      <c r="H18" s="55">
        <v>14.8</v>
      </c>
      <c r="I18" s="55">
        <v>101.096</v>
      </c>
      <c r="J18" s="55">
        <v>101.644</v>
      </c>
      <c r="K18" s="55">
        <v>100.548</v>
      </c>
      <c r="L18" s="55">
        <v>96.073</v>
      </c>
      <c r="M18" s="55">
        <v>97.808</v>
      </c>
      <c r="N18" s="56"/>
    </row>
    <row r="19" ht="15.75" customHeight="1">
      <c r="A19" s="10">
        <v>31898.0</v>
      </c>
      <c r="B19" s="55">
        <v>101.746</v>
      </c>
      <c r="C19" s="55">
        <v>11.0</v>
      </c>
      <c r="D19" s="55">
        <v>34.0</v>
      </c>
      <c r="E19" s="55">
        <v>4.0</v>
      </c>
      <c r="F19" s="55">
        <v>9.0</v>
      </c>
      <c r="G19" s="55">
        <v>36.0</v>
      </c>
      <c r="H19" s="55">
        <v>18.8</v>
      </c>
      <c r="I19" s="55">
        <v>104.018</v>
      </c>
      <c r="J19" s="55">
        <v>108.128</v>
      </c>
      <c r="K19" s="55">
        <v>101.735</v>
      </c>
      <c r="L19" s="55">
        <v>99.635</v>
      </c>
      <c r="M19" s="55">
        <v>97.443</v>
      </c>
      <c r="N19" s="56"/>
    </row>
    <row r="20" ht="15.75" customHeight="1">
      <c r="A20" s="10">
        <v>31929.0</v>
      </c>
      <c r="B20" s="55">
        <v>102.485</v>
      </c>
      <c r="C20" s="55">
        <v>10.0</v>
      </c>
      <c r="D20" s="55">
        <v>35.0</v>
      </c>
      <c r="E20" s="55">
        <v>5.0</v>
      </c>
      <c r="F20" s="55">
        <v>10.0</v>
      </c>
      <c r="G20" s="55">
        <v>34.0</v>
      </c>
      <c r="H20" s="55">
        <v>18.8</v>
      </c>
      <c r="I20" s="55">
        <v>101.826</v>
      </c>
      <c r="J20" s="55">
        <v>107.397</v>
      </c>
      <c r="K20" s="55">
        <v>101.735</v>
      </c>
      <c r="L20" s="55">
        <v>102.192</v>
      </c>
      <c r="M20" s="55">
        <v>100.274</v>
      </c>
      <c r="N20" s="56"/>
    </row>
    <row r="21" ht="15.75" customHeight="1">
      <c r="A21" s="10">
        <v>31959.0</v>
      </c>
      <c r="B21" s="55">
        <v>103.745</v>
      </c>
      <c r="C21" s="55">
        <v>14.0</v>
      </c>
      <c r="D21" s="55">
        <v>32.0</v>
      </c>
      <c r="E21" s="55">
        <v>7.0</v>
      </c>
      <c r="F21" s="55">
        <v>16.0</v>
      </c>
      <c r="G21" s="55">
        <v>37.0</v>
      </c>
      <c r="H21" s="55">
        <v>21.2</v>
      </c>
      <c r="I21" s="55">
        <v>101.005</v>
      </c>
      <c r="J21" s="55">
        <v>110.137</v>
      </c>
      <c r="K21" s="55">
        <v>104.384</v>
      </c>
      <c r="L21" s="55">
        <v>103.927</v>
      </c>
      <c r="M21" s="55">
        <v>102.74</v>
      </c>
      <c r="N21" s="56"/>
    </row>
    <row r="22" ht="15.75" customHeight="1">
      <c r="A22" s="10">
        <v>31990.0</v>
      </c>
      <c r="B22" s="55">
        <v>102.421</v>
      </c>
      <c r="C22" s="55">
        <v>11.0</v>
      </c>
      <c r="D22" s="55">
        <v>32.0</v>
      </c>
      <c r="E22" s="55">
        <v>7.0</v>
      </c>
      <c r="F22" s="55">
        <v>9.0</v>
      </c>
      <c r="G22" s="55">
        <v>32.0</v>
      </c>
      <c r="H22" s="55">
        <v>18.2</v>
      </c>
      <c r="I22" s="55">
        <v>99.817</v>
      </c>
      <c r="J22" s="55">
        <v>107.215</v>
      </c>
      <c r="K22" s="55">
        <v>109.406</v>
      </c>
      <c r="L22" s="55">
        <v>102.557</v>
      </c>
      <c r="M22" s="55">
        <v>101.644</v>
      </c>
      <c r="N22" s="56"/>
    </row>
    <row r="23" ht="15.75" customHeight="1">
      <c r="A23" s="10">
        <v>32021.0</v>
      </c>
      <c r="B23" s="55">
        <v>101.59</v>
      </c>
      <c r="C23" s="55">
        <v>10.0</v>
      </c>
      <c r="D23" s="55">
        <v>31.0</v>
      </c>
      <c r="E23" s="55">
        <v>6.0</v>
      </c>
      <c r="F23" s="55">
        <v>9.0</v>
      </c>
      <c r="G23" s="55">
        <v>30.0</v>
      </c>
      <c r="H23" s="55">
        <v>17.2</v>
      </c>
      <c r="I23" s="55">
        <v>99.817</v>
      </c>
      <c r="J23" s="55">
        <v>104.658</v>
      </c>
      <c r="K23" s="55">
        <v>99.635</v>
      </c>
      <c r="L23" s="55">
        <v>102.922</v>
      </c>
      <c r="M23" s="55">
        <v>101.005</v>
      </c>
      <c r="N23" s="56"/>
    </row>
    <row r="24" ht="15.75" customHeight="1">
      <c r="A24" s="10">
        <v>32051.0</v>
      </c>
      <c r="B24" s="55">
        <v>98.6318</v>
      </c>
      <c r="C24" s="55">
        <v>9.0</v>
      </c>
      <c r="D24" s="55">
        <v>29.0</v>
      </c>
      <c r="E24" s="55">
        <v>2.0</v>
      </c>
      <c r="F24" s="55">
        <v>0.0</v>
      </c>
      <c r="G24" s="55">
        <v>23.0</v>
      </c>
      <c r="H24" s="55">
        <v>12.6</v>
      </c>
      <c r="I24" s="55">
        <v>96.256</v>
      </c>
      <c r="J24" s="55">
        <v>103.562</v>
      </c>
      <c r="K24" s="55">
        <v>90.32</v>
      </c>
      <c r="L24" s="55">
        <v>101.735</v>
      </c>
      <c r="M24" s="55">
        <v>98.995</v>
      </c>
      <c r="N24" s="56"/>
    </row>
    <row r="25" ht="15.75" customHeight="1">
      <c r="A25" s="10">
        <v>32082.0</v>
      </c>
      <c r="B25" s="55">
        <v>100.029</v>
      </c>
      <c r="C25" s="55">
        <v>9.0</v>
      </c>
      <c r="D25" s="55">
        <v>30.0</v>
      </c>
      <c r="E25" s="55">
        <v>7.0</v>
      </c>
      <c r="F25" s="55">
        <v>-5.0</v>
      </c>
      <c r="G25" s="55">
        <v>23.0</v>
      </c>
      <c r="H25" s="55">
        <v>12.8</v>
      </c>
      <c r="I25" s="55">
        <v>101.005</v>
      </c>
      <c r="J25" s="55">
        <v>103.47</v>
      </c>
      <c r="K25" s="55">
        <v>101.187</v>
      </c>
      <c r="L25" s="55">
        <v>98.356</v>
      </c>
      <c r="M25" s="55">
        <v>96.895</v>
      </c>
      <c r="N25" s="56"/>
    </row>
    <row r="26" ht="15.75" customHeight="1">
      <c r="A26" s="10">
        <v>32112.0</v>
      </c>
      <c r="B26" s="55">
        <v>100.376</v>
      </c>
      <c r="C26" s="55">
        <v>12.0</v>
      </c>
      <c r="D26" s="55">
        <v>34.0</v>
      </c>
      <c r="E26" s="55">
        <v>8.0</v>
      </c>
      <c r="F26" s="55">
        <v>0.0</v>
      </c>
      <c r="G26" s="55">
        <v>25.0</v>
      </c>
      <c r="H26" s="55">
        <v>15.8</v>
      </c>
      <c r="I26" s="55">
        <v>100.0</v>
      </c>
      <c r="J26" s="55">
        <v>103.653</v>
      </c>
      <c r="K26" s="55">
        <v>100.457</v>
      </c>
      <c r="L26" s="55">
        <v>97.534</v>
      </c>
      <c r="M26" s="55">
        <v>97.808</v>
      </c>
      <c r="N26" s="56"/>
    </row>
    <row r="27" ht="15.75" customHeight="1">
      <c r="A27" s="10">
        <v>32143.0</v>
      </c>
      <c r="B27" s="55">
        <v>99.061</v>
      </c>
      <c r="C27" s="55">
        <v>11.0</v>
      </c>
      <c r="D27" s="55">
        <v>32.0</v>
      </c>
      <c r="E27" s="55">
        <v>3.0</v>
      </c>
      <c r="F27" s="55">
        <v>0.0</v>
      </c>
      <c r="G27" s="55">
        <v>22.0</v>
      </c>
      <c r="H27" s="55">
        <v>13.6</v>
      </c>
      <c r="I27" s="55">
        <v>94.429</v>
      </c>
      <c r="J27" s="55">
        <v>102.283</v>
      </c>
      <c r="K27" s="55">
        <v>94.338</v>
      </c>
      <c r="L27" s="55">
        <v>93.699</v>
      </c>
      <c r="M27" s="55">
        <v>99.817</v>
      </c>
      <c r="N27" s="56"/>
    </row>
    <row r="28" ht="15.75" customHeight="1">
      <c r="A28" s="10">
        <v>32174.0</v>
      </c>
      <c r="B28" s="55">
        <v>101.554</v>
      </c>
      <c r="C28" s="55">
        <v>14.0</v>
      </c>
      <c r="D28" s="55">
        <v>32.0</v>
      </c>
      <c r="E28" s="55">
        <v>9.0</v>
      </c>
      <c r="F28" s="55">
        <v>7.0</v>
      </c>
      <c r="G28" s="55">
        <v>28.0</v>
      </c>
      <c r="H28" s="55">
        <v>18.0</v>
      </c>
      <c r="I28" s="55">
        <v>100.548</v>
      </c>
      <c r="J28" s="55">
        <v>107.489</v>
      </c>
      <c r="K28" s="55">
        <v>99.269</v>
      </c>
      <c r="L28" s="55">
        <v>105.297</v>
      </c>
      <c r="M28" s="55">
        <v>99.452</v>
      </c>
      <c r="N28" s="56"/>
    </row>
    <row r="29" ht="15.75" customHeight="1">
      <c r="A29" s="10">
        <v>32203.0</v>
      </c>
      <c r="B29" s="55">
        <v>100.65</v>
      </c>
      <c r="C29" s="55">
        <v>13.0</v>
      </c>
      <c r="D29" s="55">
        <v>32.0</v>
      </c>
      <c r="E29" s="55">
        <v>4.0</v>
      </c>
      <c r="F29" s="55">
        <v>6.0</v>
      </c>
      <c r="G29" s="55">
        <v>31.0</v>
      </c>
      <c r="H29" s="55">
        <v>17.2</v>
      </c>
      <c r="I29" s="55">
        <v>100.639</v>
      </c>
      <c r="J29" s="55">
        <v>107.123</v>
      </c>
      <c r="K29" s="55">
        <v>97.26</v>
      </c>
      <c r="L29" s="55">
        <v>102.283</v>
      </c>
      <c r="M29" s="55">
        <v>100.274</v>
      </c>
      <c r="N29" s="56"/>
    </row>
    <row r="30" ht="15.75" customHeight="1">
      <c r="A30" s="10">
        <v>32234.0</v>
      </c>
      <c r="B30" s="55">
        <v>100.951</v>
      </c>
      <c r="C30" s="55">
        <v>11.0</v>
      </c>
      <c r="D30" s="55">
        <v>33.0</v>
      </c>
      <c r="E30" s="55">
        <v>3.0</v>
      </c>
      <c r="F30" s="55">
        <v>1.0</v>
      </c>
      <c r="G30" s="55">
        <v>36.0</v>
      </c>
      <c r="H30" s="55">
        <v>16.8</v>
      </c>
      <c r="I30" s="55">
        <v>100.0</v>
      </c>
      <c r="J30" s="55">
        <v>102.557</v>
      </c>
      <c r="K30" s="55">
        <v>107.489</v>
      </c>
      <c r="L30" s="55">
        <v>99.452</v>
      </c>
      <c r="M30" s="55">
        <v>100.183</v>
      </c>
      <c r="N30" s="56"/>
    </row>
    <row r="31" ht="15.75" customHeight="1">
      <c r="A31" s="10">
        <v>32264.0</v>
      </c>
      <c r="B31" s="55">
        <v>101.654</v>
      </c>
      <c r="C31" s="55">
        <v>12.0</v>
      </c>
      <c r="D31" s="55">
        <v>31.0</v>
      </c>
      <c r="E31" s="55">
        <v>5.0</v>
      </c>
      <c r="F31" s="55">
        <v>4.0</v>
      </c>
      <c r="G31" s="55">
        <v>30.0</v>
      </c>
      <c r="H31" s="55">
        <v>16.4</v>
      </c>
      <c r="I31" s="55">
        <v>97.534</v>
      </c>
      <c r="J31" s="55">
        <v>107.123</v>
      </c>
      <c r="K31" s="55">
        <v>102.283</v>
      </c>
      <c r="L31" s="55">
        <v>103.744</v>
      </c>
      <c r="M31" s="55">
        <v>101.644</v>
      </c>
      <c r="N31" s="56"/>
    </row>
    <row r="32" ht="15.75" customHeight="1">
      <c r="A32" s="10">
        <v>32295.0</v>
      </c>
      <c r="B32" s="55">
        <v>100.111</v>
      </c>
      <c r="C32" s="55">
        <v>10.0</v>
      </c>
      <c r="D32" s="55">
        <v>31.0</v>
      </c>
      <c r="E32" s="55">
        <v>3.0</v>
      </c>
      <c r="F32" s="55">
        <v>1.0</v>
      </c>
      <c r="G32" s="55">
        <v>27.0</v>
      </c>
      <c r="H32" s="55">
        <v>14.4</v>
      </c>
      <c r="I32" s="55">
        <v>98.174</v>
      </c>
      <c r="J32" s="55">
        <v>104.566</v>
      </c>
      <c r="K32" s="55">
        <v>103.196</v>
      </c>
      <c r="L32" s="55">
        <v>101.096</v>
      </c>
      <c r="M32" s="55">
        <v>97.352</v>
      </c>
      <c r="N32" s="56"/>
    </row>
    <row r="33" ht="15.75" customHeight="1">
      <c r="A33" s="10">
        <v>32325.0</v>
      </c>
      <c r="B33" s="55">
        <v>101.645</v>
      </c>
      <c r="C33" s="55">
        <v>12.0</v>
      </c>
      <c r="D33" s="55">
        <v>31.0</v>
      </c>
      <c r="E33" s="55">
        <v>5.0</v>
      </c>
      <c r="F33" s="55">
        <v>5.0</v>
      </c>
      <c r="G33" s="55">
        <v>32.0</v>
      </c>
      <c r="H33" s="55">
        <v>17.0</v>
      </c>
      <c r="I33" s="55">
        <v>100.091</v>
      </c>
      <c r="J33" s="55">
        <v>101.279</v>
      </c>
      <c r="K33" s="55">
        <v>109.406</v>
      </c>
      <c r="L33" s="55">
        <v>103.288</v>
      </c>
      <c r="M33" s="55">
        <v>100.091</v>
      </c>
      <c r="N33" s="56"/>
    </row>
    <row r="34" ht="15.75" customHeight="1">
      <c r="A34" s="10">
        <v>32356.0</v>
      </c>
      <c r="B34" s="55">
        <v>100.778</v>
      </c>
      <c r="C34" s="55">
        <v>14.0</v>
      </c>
      <c r="D34" s="55">
        <v>33.0</v>
      </c>
      <c r="E34" s="55">
        <v>6.0</v>
      </c>
      <c r="F34" s="55">
        <v>2.0</v>
      </c>
      <c r="G34" s="55">
        <v>30.0</v>
      </c>
      <c r="H34" s="55">
        <v>17.0</v>
      </c>
      <c r="I34" s="55">
        <v>97.078</v>
      </c>
      <c r="J34" s="55">
        <v>103.379</v>
      </c>
      <c r="K34" s="55">
        <v>105.936</v>
      </c>
      <c r="L34" s="55">
        <v>105.662</v>
      </c>
      <c r="M34" s="55">
        <v>99.726</v>
      </c>
      <c r="N34" s="56"/>
    </row>
    <row r="35" ht="15.75" customHeight="1">
      <c r="A35" s="10">
        <v>32387.0</v>
      </c>
      <c r="B35" s="55">
        <v>102.138</v>
      </c>
      <c r="C35" s="55">
        <v>13.0</v>
      </c>
      <c r="D35" s="55">
        <v>35.0</v>
      </c>
      <c r="E35" s="55">
        <v>4.0</v>
      </c>
      <c r="F35" s="55">
        <v>9.0</v>
      </c>
      <c r="G35" s="55">
        <v>30.0</v>
      </c>
      <c r="H35" s="55">
        <v>18.2</v>
      </c>
      <c r="I35" s="55">
        <v>101.826</v>
      </c>
      <c r="J35" s="55">
        <v>104.566</v>
      </c>
      <c r="K35" s="55">
        <v>98.082</v>
      </c>
      <c r="L35" s="55">
        <v>105.297</v>
      </c>
      <c r="M35" s="55">
        <v>101.096</v>
      </c>
      <c r="N35" s="56"/>
    </row>
    <row r="36" ht="15.75" customHeight="1">
      <c r="A36" s="10">
        <v>32417.0</v>
      </c>
      <c r="B36" s="55">
        <v>101.828</v>
      </c>
      <c r="C36" s="55">
        <v>11.0</v>
      </c>
      <c r="D36" s="55">
        <v>34.0</v>
      </c>
      <c r="E36" s="55">
        <v>2.0</v>
      </c>
      <c r="F36" s="55">
        <v>7.0</v>
      </c>
      <c r="G36" s="55">
        <v>35.0</v>
      </c>
      <c r="H36" s="55">
        <v>17.8</v>
      </c>
      <c r="I36" s="55">
        <v>103.653</v>
      </c>
      <c r="J36" s="55">
        <v>106.941</v>
      </c>
      <c r="K36" s="55">
        <v>107.306</v>
      </c>
      <c r="L36" s="55">
        <v>99.543</v>
      </c>
      <c r="M36" s="55">
        <v>97.9</v>
      </c>
      <c r="N36" s="56"/>
    </row>
    <row r="37" ht="15.75" customHeight="1">
      <c r="A37" s="10">
        <v>32448.0</v>
      </c>
      <c r="B37" s="55">
        <v>100.485</v>
      </c>
      <c r="C37" s="55">
        <v>11.0</v>
      </c>
      <c r="D37" s="55">
        <v>33.0</v>
      </c>
      <c r="E37" s="55">
        <v>3.0</v>
      </c>
      <c r="F37" s="55">
        <v>3.0</v>
      </c>
      <c r="G37" s="55">
        <v>29.0</v>
      </c>
      <c r="H37" s="55">
        <v>15.8</v>
      </c>
      <c r="I37" s="55">
        <v>101.37</v>
      </c>
      <c r="J37" s="55">
        <v>102.192</v>
      </c>
      <c r="K37" s="55">
        <v>101.37</v>
      </c>
      <c r="L37" s="55">
        <v>91.416</v>
      </c>
      <c r="M37" s="55">
        <v>99.543</v>
      </c>
      <c r="N37" s="56"/>
    </row>
    <row r="38" ht="15.75" customHeight="1">
      <c r="A38" s="10">
        <v>32478.0</v>
      </c>
      <c r="B38" s="55">
        <v>101.289</v>
      </c>
      <c r="C38" s="55">
        <v>11.0</v>
      </c>
      <c r="D38" s="55">
        <v>35.0</v>
      </c>
      <c r="E38" s="55">
        <v>6.0</v>
      </c>
      <c r="F38" s="55">
        <v>3.0</v>
      </c>
      <c r="G38" s="55">
        <v>25.0</v>
      </c>
      <c r="H38" s="55">
        <v>16.0</v>
      </c>
      <c r="I38" s="55">
        <v>99.635</v>
      </c>
      <c r="J38" s="55">
        <v>106.393</v>
      </c>
      <c r="K38" s="55">
        <v>104.749</v>
      </c>
      <c r="L38" s="55">
        <v>101.279</v>
      </c>
      <c r="M38" s="55">
        <v>98.539</v>
      </c>
      <c r="N38" s="56"/>
    </row>
    <row r="39" ht="15.75" customHeight="1">
      <c r="A39" s="10">
        <v>32509.0</v>
      </c>
      <c r="B39" s="55">
        <v>101.892</v>
      </c>
      <c r="C39" s="55">
        <v>14.0</v>
      </c>
      <c r="D39" s="55">
        <v>32.0</v>
      </c>
      <c r="E39" s="55">
        <v>9.0</v>
      </c>
      <c r="F39" s="55">
        <v>5.0</v>
      </c>
      <c r="G39" s="55">
        <v>28.0</v>
      </c>
      <c r="H39" s="55">
        <v>17.6</v>
      </c>
      <c r="I39" s="55">
        <v>100.822</v>
      </c>
      <c r="J39" s="55">
        <v>105.114</v>
      </c>
      <c r="K39" s="55">
        <v>104.11</v>
      </c>
      <c r="L39" s="55">
        <v>104.292</v>
      </c>
      <c r="M39" s="55">
        <v>98.904</v>
      </c>
      <c r="N39" s="56"/>
    </row>
    <row r="40" ht="15.75" customHeight="1">
      <c r="A40" s="10">
        <v>32540.0</v>
      </c>
      <c r="B40" s="55">
        <v>101.371</v>
      </c>
      <c r="C40" s="55">
        <v>15.0</v>
      </c>
      <c r="D40" s="55">
        <v>36.0</v>
      </c>
      <c r="E40" s="55">
        <v>10.0</v>
      </c>
      <c r="F40" s="55">
        <v>1.0</v>
      </c>
      <c r="G40" s="55">
        <v>29.0</v>
      </c>
      <c r="H40" s="55">
        <v>18.2</v>
      </c>
      <c r="I40" s="55">
        <v>101.37</v>
      </c>
      <c r="J40" s="55">
        <v>105.753</v>
      </c>
      <c r="K40" s="55">
        <v>101.644</v>
      </c>
      <c r="L40" s="55">
        <v>101.279</v>
      </c>
      <c r="M40" s="55">
        <v>99.269</v>
      </c>
      <c r="N40" s="56"/>
    </row>
    <row r="41" ht="15.75" customHeight="1">
      <c r="A41" s="10">
        <v>32568.0</v>
      </c>
      <c r="B41" s="55">
        <v>98.0017</v>
      </c>
      <c r="C41" s="55">
        <v>11.0</v>
      </c>
      <c r="D41" s="55">
        <v>32.0</v>
      </c>
      <c r="E41" s="55">
        <v>6.0</v>
      </c>
      <c r="F41" s="55">
        <v>-5.0</v>
      </c>
      <c r="G41" s="55">
        <v>24.0</v>
      </c>
      <c r="H41" s="55">
        <v>13.6</v>
      </c>
      <c r="I41" s="55">
        <v>99.269</v>
      </c>
      <c r="J41" s="55">
        <v>100.639</v>
      </c>
      <c r="K41" s="55">
        <v>102.1</v>
      </c>
      <c r="L41" s="55">
        <v>97.534</v>
      </c>
      <c r="M41" s="55">
        <v>96.712</v>
      </c>
      <c r="N41" s="56"/>
    </row>
    <row r="42" ht="15.75" customHeight="1">
      <c r="A42" s="10">
        <v>32599.0</v>
      </c>
      <c r="B42" s="55">
        <v>97.2985</v>
      </c>
      <c r="C42" s="55">
        <v>11.0</v>
      </c>
      <c r="D42" s="55">
        <v>33.0</v>
      </c>
      <c r="E42" s="55">
        <v>-1.0</v>
      </c>
      <c r="F42" s="55">
        <v>-5.0</v>
      </c>
      <c r="G42" s="55">
        <v>21.0</v>
      </c>
      <c r="H42" s="55">
        <v>11.8</v>
      </c>
      <c r="I42" s="55">
        <v>99.178</v>
      </c>
      <c r="J42" s="55">
        <v>102.1</v>
      </c>
      <c r="K42" s="55">
        <v>101.918</v>
      </c>
      <c r="L42" s="55">
        <v>92.42</v>
      </c>
      <c r="M42" s="55">
        <v>94.977</v>
      </c>
      <c r="N42" s="56"/>
    </row>
    <row r="43" ht="15.75" customHeight="1">
      <c r="A43" s="10">
        <v>32629.0</v>
      </c>
      <c r="B43" s="55">
        <v>99.3714</v>
      </c>
      <c r="C43" s="55">
        <v>7.0</v>
      </c>
      <c r="D43" s="55">
        <v>30.0</v>
      </c>
      <c r="E43" s="55">
        <v>4.0</v>
      </c>
      <c r="F43" s="55">
        <v>1.0</v>
      </c>
      <c r="G43" s="55">
        <v>28.0</v>
      </c>
      <c r="H43" s="55">
        <v>14.0</v>
      </c>
      <c r="I43" s="55">
        <v>101.461</v>
      </c>
      <c r="J43" s="55">
        <v>98.813</v>
      </c>
      <c r="K43" s="55">
        <v>96.53</v>
      </c>
      <c r="L43" s="55">
        <v>97.626</v>
      </c>
      <c r="M43" s="55">
        <v>97.26</v>
      </c>
      <c r="N43" s="56"/>
    </row>
    <row r="44" ht="15.75" customHeight="1">
      <c r="A44" s="10">
        <v>32660.0</v>
      </c>
      <c r="B44" s="55">
        <v>99.5632</v>
      </c>
      <c r="C44" s="55">
        <v>8.0</v>
      </c>
      <c r="D44" s="55">
        <v>33.0</v>
      </c>
      <c r="E44" s="55">
        <v>3.0</v>
      </c>
      <c r="F44" s="55">
        <v>-1.0</v>
      </c>
      <c r="G44" s="55">
        <v>24.0</v>
      </c>
      <c r="H44" s="55">
        <v>13.4</v>
      </c>
      <c r="I44" s="55">
        <v>97.9</v>
      </c>
      <c r="J44" s="55">
        <v>101.279</v>
      </c>
      <c r="K44" s="55">
        <v>103.014</v>
      </c>
      <c r="L44" s="55">
        <v>100.457</v>
      </c>
      <c r="M44" s="55">
        <v>97.352</v>
      </c>
      <c r="N44" s="56"/>
    </row>
    <row r="45" ht="15.75" customHeight="1">
      <c r="A45" s="10">
        <v>32690.0</v>
      </c>
      <c r="B45" s="55">
        <v>99.6363</v>
      </c>
      <c r="C45" s="55">
        <v>6.0</v>
      </c>
      <c r="D45" s="55">
        <v>31.0</v>
      </c>
      <c r="E45" s="55">
        <v>2.0</v>
      </c>
      <c r="F45" s="55">
        <v>8.0</v>
      </c>
      <c r="G45" s="55">
        <v>28.0</v>
      </c>
      <c r="H45" s="55">
        <v>15.0</v>
      </c>
      <c r="I45" s="55">
        <v>98.356</v>
      </c>
      <c r="J45" s="55">
        <v>104.384</v>
      </c>
      <c r="K45" s="55">
        <v>100.548</v>
      </c>
      <c r="L45" s="55">
        <v>94.886</v>
      </c>
      <c r="M45" s="55">
        <v>96.986</v>
      </c>
      <c r="N45" s="56"/>
    </row>
    <row r="46" ht="15.75" customHeight="1">
      <c r="A46" s="10">
        <v>32721.0</v>
      </c>
      <c r="B46" s="55">
        <v>101.873</v>
      </c>
      <c r="C46" s="55">
        <v>9.0</v>
      </c>
      <c r="D46" s="55">
        <v>31.0</v>
      </c>
      <c r="E46" s="55">
        <v>2.0</v>
      </c>
      <c r="F46" s="55">
        <v>13.0</v>
      </c>
      <c r="G46" s="55">
        <v>34.0</v>
      </c>
      <c r="H46" s="55">
        <v>17.8</v>
      </c>
      <c r="I46" s="55">
        <v>101.918</v>
      </c>
      <c r="J46" s="55">
        <v>96.986</v>
      </c>
      <c r="K46" s="55">
        <v>97.991</v>
      </c>
      <c r="L46" s="55">
        <v>108.037</v>
      </c>
      <c r="M46" s="55">
        <v>101.37</v>
      </c>
      <c r="N46" s="56"/>
    </row>
    <row r="47" ht="15.75" customHeight="1">
      <c r="A47" s="10">
        <v>32752.0</v>
      </c>
      <c r="B47" s="55">
        <v>101.408</v>
      </c>
      <c r="C47" s="55">
        <v>12.0</v>
      </c>
      <c r="D47" s="55">
        <v>32.0</v>
      </c>
      <c r="E47" s="55">
        <v>3.0</v>
      </c>
      <c r="F47" s="55">
        <v>12.0</v>
      </c>
      <c r="G47" s="55">
        <v>30.0</v>
      </c>
      <c r="H47" s="55">
        <v>17.8</v>
      </c>
      <c r="I47" s="55">
        <v>98.904</v>
      </c>
      <c r="J47" s="55">
        <v>105.388</v>
      </c>
      <c r="K47" s="55">
        <v>100.274</v>
      </c>
      <c r="L47" s="55">
        <v>99.635</v>
      </c>
      <c r="M47" s="55">
        <v>99.361</v>
      </c>
      <c r="N47" s="56"/>
    </row>
    <row r="48" ht="15.75" customHeight="1">
      <c r="A48" s="10">
        <v>32782.0</v>
      </c>
      <c r="B48" s="55">
        <v>99.7276</v>
      </c>
      <c r="C48" s="55">
        <v>10.0</v>
      </c>
      <c r="D48" s="55">
        <v>32.0</v>
      </c>
      <c r="E48" s="55">
        <v>9.0</v>
      </c>
      <c r="F48" s="55">
        <v>1.0</v>
      </c>
      <c r="G48" s="55">
        <v>22.0</v>
      </c>
      <c r="H48" s="55">
        <v>14.8</v>
      </c>
      <c r="I48" s="55">
        <v>96.347</v>
      </c>
      <c r="J48" s="55">
        <v>103.562</v>
      </c>
      <c r="K48" s="55">
        <v>101.918</v>
      </c>
      <c r="L48" s="55">
        <v>100.365</v>
      </c>
      <c r="M48" s="55">
        <v>98.174</v>
      </c>
      <c r="N48" s="56"/>
    </row>
    <row r="49" ht="15.75" customHeight="1">
      <c r="A49" s="10">
        <v>32813.0</v>
      </c>
      <c r="B49" s="55">
        <v>100.303</v>
      </c>
      <c r="C49" s="55">
        <v>8.0</v>
      </c>
      <c r="D49" s="55">
        <v>33.0</v>
      </c>
      <c r="E49" s="55">
        <v>2.0</v>
      </c>
      <c r="F49" s="55">
        <v>6.0</v>
      </c>
      <c r="G49" s="55">
        <v>25.0</v>
      </c>
      <c r="H49" s="55">
        <v>14.8</v>
      </c>
      <c r="I49" s="55">
        <v>98.174</v>
      </c>
      <c r="J49" s="55">
        <v>102.466</v>
      </c>
      <c r="K49" s="55">
        <v>101.005</v>
      </c>
      <c r="L49" s="55">
        <v>103.014</v>
      </c>
      <c r="M49" s="55">
        <v>95.89</v>
      </c>
      <c r="N49" s="56"/>
    </row>
    <row r="50" ht="15.75" customHeight="1">
      <c r="A50" s="10">
        <v>32843.0</v>
      </c>
      <c r="B50" s="55">
        <v>99.2801</v>
      </c>
      <c r="C50" s="55">
        <v>9.0</v>
      </c>
      <c r="D50" s="55">
        <v>34.0</v>
      </c>
      <c r="E50" s="55">
        <v>5.0</v>
      </c>
      <c r="F50" s="55">
        <v>2.0</v>
      </c>
      <c r="G50" s="55">
        <v>21.0</v>
      </c>
      <c r="H50" s="55">
        <v>14.2</v>
      </c>
      <c r="I50" s="55">
        <v>99.087</v>
      </c>
      <c r="J50" s="55">
        <v>99.909</v>
      </c>
      <c r="K50" s="55">
        <v>99.726</v>
      </c>
      <c r="L50" s="55">
        <v>99.817</v>
      </c>
      <c r="M50" s="55">
        <v>96.438</v>
      </c>
      <c r="N50" s="56"/>
    </row>
    <row r="51" ht="15.75" customHeight="1">
      <c r="A51" s="10">
        <v>32874.0</v>
      </c>
      <c r="B51" s="55">
        <v>99.1523</v>
      </c>
      <c r="C51" s="55">
        <v>12.0</v>
      </c>
      <c r="D51" s="55">
        <v>34.0</v>
      </c>
      <c r="E51" s="55">
        <v>6.0</v>
      </c>
      <c r="F51" s="55">
        <v>3.0</v>
      </c>
      <c r="G51" s="55">
        <v>22.0</v>
      </c>
      <c r="H51" s="55">
        <v>15.4</v>
      </c>
      <c r="I51" s="55">
        <v>100.548</v>
      </c>
      <c r="J51" s="55">
        <v>105.571</v>
      </c>
      <c r="K51" s="55">
        <v>100.639</v>
      </c>
      <c r="L51" s="55">
        <v>96.164</v>
      </c>
      <c r="M51" s="55">
        <v>95.982</v>
      </c>
      <c r="N51" s="56"/>
    </row>
    <row r="52" ht="15.75" customHeight="1">
      <c r="A52" s="10">
        <v>32905.0</v>
      </c>
      <c r="B52" s="55">
        <v>100.367</v>
      </c>
      <c r="C52" s="55">
        <v>12.0</v>
      </c>
      <c r="D52" s="55">
        <v>33.0</v>
      </c>
      <c r="E52" s="55">
        <v>5.0</v>
      </c>
      <c r="F52" s="55">
        <v>6.0</v>
      </c>
      <c r="G52" s="55">
        <v>30.0</v>
      </c>
      <c r="H52" s="55">
        <v>17.2</v>
      </c>
      <c r="I52" s="55">
        <v>104.566</v>
      </c>
      <c r="J52" s="55">
        <v>101.005</v>
      </c>
      <c r="K52" s="55">
        <v>100.822</v>
      </c>
      <c r="L52" s="55">
        <v>101.461</v>
      </c>
      <c r="M52" s="55">
        <v>98.813</v>
      </c>
      <c r="N52" s="56"/>
    </row>
    <row r="53" ht="15.75" customHeight="1">
      <c r="A53" s="10">
        <v>32933.0</v>
      </c>
      <c r="B53" s="55">
        <v>99.2801</v>
      </c>
      <c r="C53" s="55">
        <v>10.0</v>
      </c>
      <c r="D53" s="55">
        <v>31.0</v>
      </c>
      <c r="E53" s="55">
        <v>4.0</v>
      </c>
      <c r="F53" s="55">
        <v>5.0</v>
      </c>
      <c r="G53" s="55">
        <v>26.0</v>
      </c>
      <c r="H53" s="55">
        <v>15.2</v>
      </c>
      <c r="I53" s="55">
        <v>99.269</v>
      </c>
      <c r="J53" s="55">
        <v>101.918</v>
      </c>
      <c r="K53" s="55">
        <v>102.283</v>
      </c>
      <c r="L53" s="55">
        <v>97.991</v>
      </c>
      <c r="M53" s="55">
        <v>97.991</v>
      </c>
      <c r="N53" s="56"/>
    </row>
    <row r="54" ht="15.75" customHeight="1">
      <c r="A54" s="10">
        <v>32964.0</v>
      </c>
      <c r="B54" s="55">
        <v>99.3988</v>
      </c>
      <c r="C54" s="55">
        <v>12.0</v>
      </c>
      <c r="D54" s="55">
        <v>34.0</v>
      </c>
      <c r="E54" s="55">
        <v>4.0</v>
      </c>
      <c r="F54" s="55">
        <v>2.0</v>
      </c>
      <c r="G54" s="55">
        <v>23.0</v>
      </c>
      <c r="H54" s="55">
        <v>15.0</v>
      </c>
      <c r="I54" s="55">
        <v>93.79</v>
      </c>
      <c r="J54" s="55">
        <v>103.562</v>
      </c>
      <c r="K54" s="55">
        <v>101.187</v>
      </c>
      <c r="L54" s="55">
        <v>95.434</v>
      </c>
      <c r="M54" s="55">
        <v>97.991</v>
      </c>
      <c r="N54" s="56"/>
    </row>
    <row r="55" ht="15.75" customHeight="1">
      <c r="A55" s="10">
        <v>32994.0</v>
      </c>
      <c r="B55" s="55">
        <v>98.7322</v>
      </c>
      <c r="C55" s="55">
        <v>10.0</v>
      </c>
      <c r="D55" s="55">
        <v>31.0</v>
      </c>
      <c r="E55" s="55">
        <v>1.0</v>
      </c>
      <c r="F55" s="55">
        <v>2.0</v>
      </c>
      <c r="G55" s="55">
        <v>25.0</v>
      </c>
      <c r="H55" s="55">
        <v>13.8</v>
      </c>
      <c r="I55" s="55">
        <v>98.356</v>
      </c>
      <c r="J55" s="55">
        <v>96.438</v>
      </c>
      <c r="K55" s="55">
        <v>97.991</v>
      </c>
      <c r="L55" s="55">
        <v>96.164</v>
      </c>
      <c r="M55" s="55">
        <v>97.808</v>
      </c>
      <c r="N55" s="56"/>
    </row>
    <row r="56" ht="15.75" customHeight="1">
      <c r="A56" s="10">
        <v>33025.0</v>
      </c>
      <c r="B56" s="55">
        <v>97.9195</v>
      </c>
      <c r="C56" s="55">
        <v>9.0</v>
      </c>
      <c r="D56" s="55">
        <v>31.0</v>
      </c>
      <c r="E56" s="55">
        <v>5.0</v>
      </c>
      <c r="F56" s="55">
        <v>0.0</v>
      </c>
      <c r="G56" s="55">
        <v>22.0</v>
      </c>
      <c r="H56" s="55">
        <v>13.4</v>
      </c>
      <c r="I56" s="55">
        <v>95.89</v>
      </c>
      <c r="J56" s="55">
        <v>100.913</v>
      </c>
      <c r="K56" s="55">
        <v>101.096</v>
      </c>
      <c r="L56" s="55">
        <v>94.338</v>
      </c>
      <c r="M56" s="55">
        <v>96.164</v>
      </c>
      <c r="N56" s="56"/>
    </row>
    <row r="57" ht="15.75" customHeight="1">
      <c r="A57" s="10">
        <v>33055.0</v>
      </c>
      <c r="B57" s="55">
        <v>95.1617</v>
      </c>
      <c r="C57" s="55">
        <v>6.0</v>
      </c>
      <c r="D57" s="55">
        <v>31.0</v>
      </c>
      <c r="E57" s="55">
        <v>2.0</v>
      </c>
      <c r="F57" s="55">
        <v>-15.0</v>
      </c>
      <c r="G57" s="55">
        <v>20.0</v>
      </c>
      <c r="H57" s="55">
        <v>8.8</v>
      </c>
      <c r="I57" s="55">
        <v>91.142</v>
      </c>
      <c r="J57" s="55">
        <v>96.256</v>
      </c>
      <c r="K57" s="55">
        <v>90.137</v>
      </c>
      <c r="L57" s="55">
        <v>95.525</v>
      </c>
      <c r="M57" s="55">
        <v>95.434</v>
      </c>
      <c r="N57" s="56"/>
    </row>
    <row r="58" ht="15.75" customHeight="1">
      <c r="A58" s="10">
        <v>33086.0</v>
      </c>
      <c r="B58" s="55">
        <v>92.9244</v>
      </c>
      <c r="C58" s="55">
        <v>5.0</v>
      </c>
      <c r="D58" s="55">
        <v>29.0</v>
      </c>
      <c r="E58" s="55">
        <v>-2.0</v>
      </c>
      <c r="F58" s="55">
        <v>-16.0</v>
      </c>
      <c r="G58" s="55">
        <v>13.0</v>
      </c>
      <c r="H58" s="55">
        <v>5.8</v>
      </c>
      <c r="I58" s="55">
        <v>90.502</v>
      </c>
      <c r="J58" s="55">
        <v>93.699</v>
      </c>
      <c r="K58" s="55">
        <v>89.954</v>
      </c>
      <c r="L58" s="55">
        <v>89.315</v>
      </c>
      <c r="M58" s="55">
        <v>91.872</v>
      </c>
      <c r="N58" s="56"/>
    </row>
    <row r="59" ht="15.75" customHeight="1">
      <c r="A59" s="10">
        <v>33117.0</v>
      </c>
      <c r="B59" s="55">
        <v>91.6369</v>
      </c>
      <c r="C59" s="55">
        <v>4.0</v>
      </c>
      <c r="D59" s="55">
        <v>28.0</v>
      </c>
      <c r="E59" s="55">
        <v>-1.0</v>
      </c>
      <c r="F59" s="55">
        <v>-26.0</v>
      </c>
      <c r="G59" s="55">
        <v>8.0</v>
      </c>
      <c r="H59" s="55">
        <v>2.6</v>
      </c>
      <c r="I59" s="55">
        <v>89.315</v>
      </c>
      <c r="J59" s="55">
        <v>94.155</v>
      </c>
      <c r="K59" s="55">
        <v>89.68</v>
      </c>
      <c r="L59" s="55">
        <v>86.393</v>
      </c>
      <c r="M59" s="55">
        <v>89.954</v>
      </c>
      <c r="N59" s="56"/>
    </row>
    <row r="60" ht="15.75" customHeight="1">
      <c r="A60" s="10">
        <v>33147.0</v>
      </c>
      <c r="B60" s="55">
        <v>91.783</v>
      </c>
      <c r="C60" s="55">
        <v>0.0</v>
      </c>
      <c r="D60" s="55">
        <v>30.0</v>
      </c>
      <c r="E60" s="55">
        <v>0.0</v>
      </c>
      <c r="F60" s="55">
        <v>-21.0</v>
      </c>
      <c r="G60" s="55">
        <v>6.0</v>
      </c>
      <c r="H60" s="55">
        <v>3.0</v>
      </c>
      <c r="I60" s="55">
        <v>91.05</v>
      </c>
      <c r="J60" s="55">
        <v>94.155</v>
      </c>
      <c r="K60" s="55">
        <v>93.333</v>
      </c>
      <c r="L60" s="55">
        <v>89.954</v>
      </c>
      <c r="M60" s="55">
        <v>89.041</v>
      </c>
      <c r="N60" s="56"/>
    </row>
    <row r="61" ht="15.75" customHeight="1">
      <c r="A61" s="10">
        <v>33178.0</v>
      </c>
      <c r="B61" s="55">
        <v>91.719</v>
      </c>
      <c r="C61" s="55">
        <v>0.0</v>
      </c>
      <c r="D61" s="55">
        <v>26.0</v>
      </c>
      <c r="E61" s="55">
        <v>-1.0</v>
      </c>
      <c r="F61" s="55">
        <v>-9.0</v>
      </c>
      <c r="G61" s="55">
        <v>6.0</v>
      </c>
      <c r="H61" s="55">
        <v>4.4</v>
      </c>
      <c r="I61" s="55">
        <v>93.151</v>
      </c>
      <c r="J61" s="55">
        <v>95.251</v>
      </c>
      <c r="K61" s="55">
        <v>94.064</v>
      </c>
      <c r="L61" s="55">
        <v>90.594</v>
      </c>
      <c r="M61" s="55">
        <v>88.128</v>
      </c>
      <c r="N61" s="56"/>
    </row>
    <row r="62" ht="15.75" customHeight="1">
      <c r="A62" s="10">
        <v>33208.0</v>
      </c>
      <c r="B62" s="55">
        <v>91.2442</v>
      </c>
      <c r="C62" s="55">
        <v>1.0</v>
      </c>
      <c r="D62" s="55">
        <v>26.0</v>
      </c>
      <c r="E62" s="55">
        <v>-1.0</v>
      </c>
      <c r="F62" s="55">
        <v>-5.0</v>
      </c>
      <c r="G62" s="55">
        <v>-3.0</v>
      </c>
      <c r="H62" s="55">
        <v>3.6</v>
      </c>
      <c r="I62" s="55">
        <v>89.406</v>
      </c>
      <c r="J62" s="55">
        <v>94.155</v>
      </c>
      <c r="K62" s="55">
        <v>89.224</v>
      </c>
      <c r="L62" s="55">
        <v>89.132</v>
      </c>
      <c r="M62" s="55">
        <v>87.123</v>
      </c>
      <c r="N62" s="56"/>
    </row>
    <row r="63" ht="15.75" customHeight="1">
      <c r="A63" s="10">
        <v>33239.0</v>
      </c>
      <c r="B63" s="55">
        <v>95.4083</v>
      </c>
      <c r="C63" s="55">
        <v>5.0</v>
      </c>
      <c r="D63" s="55">
        <v>26.0</v>
      </c>
      <c r="E63" s="55">
        <v>3.0</v>
      </c>
      <c r="F63" s="55">
        <v>22.0</v>
      </c>
      <c r="G63" s="55">
        <v>2.0</v>
      </c>
      <c r="H63" s="55">
        <v>11.6</v>
      </c>
      <c r="I63" s="55">
        <v>95.982</v>
      </c>
      <c r="J63" s="55">
        <v>97.078</v>
      </c>
      <c r="K63" s="55">
        <v>94.247</v>
      </c>
      <c r="L63" s="55">
        <v>94.155</v>
      </c>
      <c r="M63" s="55">
        <v>91.142</v>
      </c>
      <c r="N63" s="56"/>
    </row>
    <row r="64" ht="15.75" customHeight="1">
      <c r="A64" s="10">
        <v>33270.0</v>
      </c>
      <c r="B64" s="55">
        <v>100.093</v>
      </c>
      <c r="C64" s="55">
        <v>11.0</v>
      </c>
      <c r="D64" s="55">
        <v>26.0</v>
      </c>
      <c r="E64" s="55">
        <v>7.0</v>
      </c>
      <c r="F64" s="55">
        <v>39.0</v>
      </c>
      <c r="G64" s="55">
        <v>25.0</v>
      </c>
      <c r="H64" s="55">
        <v>21.6</v>
      </c>
      <c r="I64" s="55">
        <v>99.269</v>
      </c>
      <c r="J64" s="55">
        <v>99.269</v>
      </c>
      <c r="K64" s="55">
        <v>91.233</v>
      </c>
      <c r="L64" s="55">
        <v>101.461</v>
      </c>
      <c r="M64" s="55">
        <v>101.826</v>
      </c>
      <c r="N64" s="56"/>
    </row>
    <row r="65" ht="15.75" customHeight="1">
      <c r="A65" s="10">
        <v>33298.0</v>
      </c>
      <c r="B65" s="55">
        <v>100.193</v>
      </c>
      <c r="C65" s="55">
        <v>10.0</v>
      </c>
      <c r="D65" s="55">
        <v>30.0</v>
      </c>
      <c r="E65" s="55">
        <v>3.0</v>
      </c>
      <c r="F65" s="55">
        <v>40.0</v>
      </c>
      <c r="G65" s="55">
        <v>29.0</v>
      </c>
      <c r="H65" s="55">
        <v>22.4</v>
      </c>
      <c r="I65" s="55">
        <v>99.087</v>
      </c>
      <c r="J65" s="55">
        <v>104.018</v>
      </c>
      <c r="K65" s="55">
        <v>103.196</v>
      </c>
      <c r="L65" s="55">
        <v>96.986</v>
      </c>
      <c r="M65" s="55">
        <v>98.995</v>
      </c>
      <c r="N65" s="56"/>
    </row>
    <row r="66" ht="15.75" customHeight="1">
      <c r="A66" s="10">
        <v>33329.0</v>
      </c>
      <c r="B66" s="55">
        <v>99.3988</v>
      </c>
      <c r="C66" s="55">
        <v>8.0</v>
      </c>
      <c r="D66" s="55">
        <v>28.0</v>
      </c>
      <c r="E66" s="55">
        <v>2.0</v>
      </c>
      <c r="F66" s="55">
        <v>38.0</v>
      </c>
      <c r="G66" s="55">
        <v>26.0</v>
      </c>
      <c r="H66" s="55">
        <v>20.4</v>
      </c>
      <c r="I66" s="55">
        <v>99.269</v>
      </c>
      <c r="J66" s="55">
        <v>101.826</v>
      </c>
      <c r="K66" s="55">
        <v>93.607</v>
      </c>
      <c r="L66" s="55">
        <v>102.192</v>
      </c>
      <c r="M66" s="55">
        <v>99.726</v>
      </c>
      <c r="N66" s="56"/>
    </row>
    <row r="67" ht="15.75" customHeight="1">
      <c r="A67" s="10">
        <v>33359.0</v>
      </c>
      <c r="B67" s="55">
        <v>99.5541</v>
      </c>
      <c r="C67" s="55">
        <v>7.0</v>
      </c>
      <c r="D67" s="55">
        <v>31.0</v>
      </c>
      <c r="E67" s="55">
        <v>0.0</v>
      </c>
      <c r="F67" s="55">
        <v>38.0</v>
      </c>
      <c r="G67" s="55">
        <v>27.0</v>
      </c>
      <c r="H67" s="55">
        <v>20.6</v>
      </c>
      <c r="I67" s="55">
        <v>100.457</v>
      </c>
      <c r="J67" s="55">
        <v>103.196</v>
      </c>
      <c r="K67" s="55">
        <v>99.817</v>
      </c>
      <c r="L67" s="55">
        <v>99.361</v>
      </c>
      <c r="M67" s="55">
        <v>96.621</v>
      </c>
      <c r="N67" s="56"/>
    </row>
    <row r="68" ht="15.75" customHeight="1">
      <c r="A68" s="10">
        <v>33390.0</v>
      </c>
      <c r="B68" s="55">
        <v>100.568</v>
      </c>
      <c r="C68" s="55">
        <v>7.0</v>
      </c>
      <c r="D68" s="55">
        <v>28.0</v>
      </c>
      <c r="E68" s="55">
        <v>6.0</v>
      </c>
      <c r="F68" s="55">
        <v>37.0</v>
      </c>
      <c r="G68" s="55">
        <v>30.0</v>
      </c>
      <c r="H68" s="55">
        <v>21.6</v>
      </c>
      <c r="I68" s="55">
        <v>100.731</v>
      </c>
      <c r="J68" s="55">
        <v>102.283</v>
      </c>
      <c r="K68" s="55">
        <v>99.817</v>
      </c>
      <c r="L68" s="55">
        <v>100.548</v>
      </c>
      <c r="M68" s="55">
        <v>98.721</v>
      </c>
      <c r="N68" s="56"/>
    </row>
    <row r="69" ht="15.75" customHeight="1">
      <c r="A69" s="10">
        <v>33420.0</v>
      </c>
      <c r="B69" s="55">
        <v>98.4491</v>
      </c>
      <c r="C69" s="55">
        <v>0.0</v>
      </c>
      <c r="D69" s="55">
        <v>28.0</v>
      </c>
      <c r="E69" s="55">
        <v>2.0</v>
      </c>
      <c r="F69" s="55">
        <v>34.0</v>
      </c>
      <c r="G69" s="55">
        <v>24.0</v>
      </c>
      <c r="H69" s="55">
        <v>17.6</v>
      </c>
      <c r="I69" s="55">
        <v>97.808</v>
      </c>
      <c r="J69" s="55">
        <v>101.644</v>
      </c>
      <c r="K69" s="55">
        <v>100.548</v>
      </c>
      <c r="L69" s="55">
        <v>100.365</v>
      </c>
      <c r="M69" s="55">
        <v>95.068</v>
      </c>
      <c r="N69" s="56"/>
    </row>
    <row r="70" ht="15.75" customHeight="1">
      <c r="A70" s="10">
        <v>33451.0</v>
      </c>
      <c r="B70" s="55">
        <v>99.408</v>
      </c>
      <c r="C70" s="55">
        <v>5.0</v>
      </c>
      <c r="D70" s="55">
        <v>29.0</v>
      </c>
      <c r="E70" s="55">
        <v>2.0</v>
      </c>
      <c r="F70" s="55">
        <v>31.0</v>
      </c>
      <c r="G70" s="55">
        <v>25.0</v>
      </c>
      <c r="H70" s="55">
        <v>18.4</v>
      </c>
      <c r="I70" s="55">
        <v>98.63</v>
      </c>
      <c r="J70" s="55">
        <v>104.018</v>
      </c>
      <c r="K70" s="55">
        <v>96.804</v>
      </c>
      <c r="L70" s="55">
        <v>100.822</v>
      </c>
      <c r="M70" s="55">
        <v>97.443</v>
      </c>
      <c r="N70" s="56"/>
    </row>
    <row r="71" ht="15.75" customHeight="1">
      <c r="A71" s="10">
        <v>33482.0</v>
      </c>
      <c r="B71" s="55">
        <v>97.8464</v>
      </c>
      <c r="C71" s="55">
        <v>4.0</v>
      </c>
      <c r="D71" s="55">
        <v>27.0</v>
      </c>
      <c r="E71" s="55">
        <v>0.0</v>
      </c>
      <c r="F71" s="55">
        <v>28.0</v>
      </c>
      <c r="G71" s="55">
        <v>23.0</v>
      </c>
      <c r="H71" s="55">
        <v>16.4</v>
      </c>
      <c r="I71" s="55">
        <v>94.612</v>
      </c>
      <c r="J71" s="55">
        <v>102.192</v>
      </c>
      <c r="K71" s="55">
        <v>102.466</v>
      </c>
      <c r="L71" s="55">
        <v>98.356</v>
      </c>
      <c r="M71" s="55">
        <v>95.251</v>
      </c>
      <c r="N71" s="56"/>
    </row>
    <row r="72" ht="15.75" customHeight="1">
      <c r="A72" s="10">
        <v>33512.0</v>
      </c>
      <c r="B72" s="55">
        <v>95.253</v>
      </c>
      <c r="C72" s="55">
        <v>2.0</v>
      </c>
      <c r="D72" s="55">
        <v>29.0</v>
      </c>
      <c r="E72" s="55">
        <v>-2.0</v>
      </c>
      <c r="F72" s="55">
        <v>18.0</v>
      </c>
      <c r="G72" s="55">
        <v>15.0</v>
      </c>
      <c r="H72" s="55">
        <v>12.4</v>
      </c>
      <c r="I72" s="55">
        <v>94.338</v>
      </c>
      <c r="J72" s="55">
        <v>92.694</v>
      </c>
      <c r="K72" s="55">
        <v>97.9</v>
      </c>
      <c r="L72" s="55">
        <v>93.881</v>
      </c>
      <c r="M72" s="55">
        <v>93.607</v>
      </c>
      <c r="N72" s="56"/>
    </row>
    <row r="73" ht="15.75" customHeight="1">
      <c r="A73" s="10">
        <v>33543.0</v>
      </c>
      <c r="B73" s="55">
        <v>95.8283</v>
      </c>
      <c r="C73" s="55">
        <v>0.0</v>
      </c>
      <c r="D73" s="55">
        <v>25.0</v>
      </c>
      <c r="E73" s="55">
        <v>3.0</v>
      </c>
      <c r="F73" s="55">
        <v>18.0</v>
      </c>
      <c r="G73" s="55">
        <v>14.0</v>
      </c>
      <c r="H73" s="55">
        <v>12.0</v>
      </c>
      <c r="I73" s="55">
        <v>92.055</v>
      </c>
      <c r="J73" s="55">
        <v>99.543</v>
      </c>
      <c r="K73" s="55">
        <v>100.822</v>
      </c>
      <c r="L73" s="55">
        <v>92.694</v>
      </c>
      <c r="M73" s="55">
        <v>93.973</v>
      </c>
      <c r="N73" s="56"/>
    </row>
    <row r="74" ht="15.75" customHeight="1">
      <c r="A74" s="10">
        <v>33573.0</v>
      </c>
      <c r="B74" s="55">
        <v>96.7232</v>
      </c>
      <c r="C74" s="55">
        <v>2.0</v>
      </c>
      <c r="D74" s="55">
        <v>27.0</v>
      </c>
      <c r="E74" s="55">
        <v>2.0</v>
      </c>
      <c r="F74" s="55">
        <v>25.0</v>
      </c>
      <c r="G74" s="55">
        <v>18.0</v>
      </c>
      <c r="H74" s="55">
        <v>14.8</v>
      </c>
      <c r="I74" s="55">
        <v>95.434</v>
      </c>
      <c r="J74" s="55">
        <v>97.9</v>
      </c>
      <c r="K74" s="55">
        <v>97.443</v>
      </c>
      <c r="L74" s="55">
        <v>96.712</v>
      </c>
      <c r="M74" s="55">
        <v>94.429</v>
      </c>
      <c r="N74" s="56"/>
    </row>
    <row r="75" ht="15.75" customHeight="1">
      <c r="A75" s="10">
        <v>33604.0</v>
      </c>
      <c r="B75" s="55">
        <v>98.4217</v>
      </c>
      <c r="C75" s="55">
        <v>8.0</v>
      </c>
      <c r="D75" s="55">
        <v>27.0</v>
      </c>
      <c r="E75" s="55">
        <v>3.0</v>
      </c>
      <c r="F75" s="55">
        <v>28.0</v>
      </c>
      <c r="G75" s="55">
        <v>19.0</v>
      </c>
      <c r="H75" s="55">
        <v>17.0</v>
      </c>
      <c r="I75" s="55">
        <v>96.347</v>
      </c>
      <c r="J75" s="55">
        <v>103.014</v>
      </c>
      <c r="K75" s="55">
        <v>98.63</v>
      </c>
      <c r="L75" s="55">
        <v>104.11</v>
      </c>
      <c r="M75" s="55">
        <v>94.886</v>
      </c>
      <c r="N75" s="56"/>
    </row>
    <row r="76" ht="15.75" customHeight="1">
      <c r="A76" s="10">
        <v>33635.0</v>
      </c>
      <c r="B76" s="55">
        <v>100.093</v>
      </c>
      <c r="C76" s="55">
        <v>6.0</v>
      </c>
      <c r="D76" s="55">
        <v>29.0</v>
      </c>
      <c r="E76" s="55">
        <v>5.0</v>
      </c>
      <c r="F76" s="55">
        <v>40.0</v>
      </c>
      <c r="G76" s="55">
        <v>27.0</v>
      </c>
      <c r="H76" s="55">
        <v>21.4</v>
      </c>
      <c r="I76" s="55">
        <v>101.918</v>
      </c>
      <c r="J76" s="55">
        <v>102.1</v>
      </c>
      <c r="K76" s="55">
        <v>107.763</v>
      </c>
      <c r="L76" s="55">
        <v>104.292</v>
      </c>
      <c r="M76" s="55">
        <v>97.991</v>
      </c>
      <c r="N76" s="56"/>
    </row>
    <row r="77" ht="15.75" customHeight="1">
      <c r="A77" s="10">
        <v>33664.0</v>
      </c>
      <c r="B77" s="55">
        <v>100.65</v>
      </c>
      <c r="C77" s="55">
        <v>7.0</v>
      </c>
      <c r="D77" s="55">
        <v>29.0</v>
      </c>
      <c r="E77" s="55">
        <v>4.0</v>
      </c>
      <c r="F77" s="55">
        <v>38.0</v>
      </c>
      <c r="G77" s="55">
        <v>27.0</v>
      </c>
      <c r="H77" s="55">
        <v>21.0</v>
      </c>
      <c r="I77" s="55">
        <v>98.813</v>
      </c>
      <c r="J77" s="55">
        <v>105.845</v>
      </c>
      <c r="K77" s="55">
        <v>103.562</v>
      </c>
      <c r="L77" s="55">
        <v>99.635</v>
      </c>
      <c r="M77" s="55">
        <v>99.178</v>
      </c>
      <c r="N77" s="56"/>
    </row>
    <row r="78" ht="15.75" customHeight="1">
      <c r="A78" s="10">
        <v>33695.0</v>
      </c>
      <c r="B78" s="55">
        <v>100.769</v>
      </c>
      <c r="C78" s="55">
        <v>6.0</v>
      </c>
      <c r="D78" s="55">
        <v>30.0</v>
      </c>
      <c r="E78" s="55">
        <v>4.0</v>
      </c>
      <c r="F78" s="55">
        <v>36.0</v>
      </c>
      <c r="G78" s="55">
        <v>23.0</v>
      </c>
      <c r="H78" s="55">
        <v>19.8</v>
      </c>
      <c r="I78" s="55">
        <v>99.269</v>
      </c>
      <c r="J78" s="55">
        <v>108.858</v>
      </c>
      <c r="K78" s="55">
        <v>105.753</v>
      </c>
      <c r="L78" s="55">
        <v>104.201</v>
      </c>
      <c r="M78" s="55">
        <v>98.082</v>
      </c>
      <c r="N78" s="56"/>
    </row>
    <row r="79" ht="15.75" customHeight="1">
      <c r="A79" s="10">
        <v>33725.0</v>
      </c>
      <c r="B79" s="55">
        <v>101.198</v>
      </c>
      <c r="C79" s="55">
        <v>8.0</v>
      </c>
      <c r="D79" s="55">
        <v>28.0</v>
      </c>
      <c r="E79" s="55">
        <v>3.0</v>
      </c>
      <c r="F79" s="55">
        <v>32.0</v>
      </c>
      <c r="G79" s="55">
        <v>29.0</v>
      </c>
      <c r="H79" s="55">
        <v>20.0</v>
      </c>
      <c r="I79" s="55">
        <v>102.922</v>
      </c>
      <c r="J79" s="55">
        <v>108.767</v>
      </c>
      <c r="K79" s="55">
        <v>94.612</v>
      </c>
      <c r="L79" s="55">
        <v>97.808</v>
      </c>
      <c r="M79" s="55">
        <v>99.087</v>
      </c>
      <c r="N79" s="56"/>
    </row>
    <row r="80" ht="15.75" customHeight="1">
      <c r="A80" s="10">
        <v>33756.0</v>
      </c>
      <c r="B80" s="55">
        <v>99.0153</v>
      </c>
      <c r="C80" s="55">
        <v>6.0</v>
      </c>
      <c r="D80" s="55">
        <v>30.0</v>
      </c>
      <c r="E80" s="55">
        <v>2.0</v>
      </c>
      <c r="F80" s="55">
        <v>22.0</v>
      </c>
      <c r="G80" s="55">
        <v>25.0</v>
      </c>
      <c r="H80" s="55">
        <v>17.0</v>
      </c>
      <c r="I80" s="55">
        <v>96.53</v>
      </c>
      <c r="J80" s="55">
        <v>102.009</v>
      </c>
      <c r="K80" s="55">
        <v>99.909</v>
      </c>
      <c r="L80" s="55">
        <v>98.539</v>
      </c>
      <c r="M80" s="55">
        <v>97.26</v>
      </c>
      <c r="N80" s="56"/>
    </row>
    <row r="81" ht="15.75" customHeight="1">
      <c r="A81" s="10">
        <v>33786.0</v>
      </c>
      <c r="B81" s="55">
        <v>99.9102</v>
      </c>
      <c r="C81" s="55">
        <v>4.0</v>
      </c>
      <c r="D81" s="55">
        <v>28.0</v>
      </c>
      <c r="E81" s="55">
        <v>5.0</v>
      </c>
      <c r="F81" s="55">
        <v>21.0</v>
      </c>
      <c r="G81" s="55">
        <v>26.0</v>
      </c>
      <c r="H81" s="55">
        <v>16.8</v>
      </c>
      <c r="I81" s="55">
        <v>99.543</v>
      </c>
      <c r="J81" s="55">
        <v>105.388</v>
      </c>
      <c r="K81" s="55">
        <v>98.904</v>
      </c>
      <c r="L81" s="55">
        <v>101.279</v>
      </c>
      <c r="M81" s="55">
        <v>95.799</v>
      </c>
      <c r="N81" s="56"/>
    </row>
    <row r="82" ht="15.75" customHeight="1">
      <c r="A82" s="10">
        <v>33817.0</v>
      </c>
      <c r="B82" s="55">
        <v>98.5861</v>
      </c>
      <c r="C82" s="55">
        <v>5.0</v>
      </c>
      <c r="D82" s="55">
        <v>31.0</v>
      </c>
      <c r="E82" s="55">
        <v>1.0</v>
      </c>
      <c r="F82" s="55">
        <v>19.0</v>
      </c>
      <c r="G82" s="55">
        <v>27.0</v>
      </c>
      <c r="H82" s="55">
        <v>16.6</v>
      </c>
      <c r="I82" s="55">
        <v>96.621</v>
      </c>
      <c r="J82" s="55">
        <v>103.562</v>
      </c>
      <c r="K82" s="55">
        <v>100.822</v>
      </c>
      <c r="L82" s="55">
        <v>99.452</v>
      </c>
      <c r="M82" s="55">
        <v>98.447</v>
      </c>
      <c r="N82" s="56"/>
    </row>
    <row r="83" ht="15.75" customHeight="1">
      <c r="A83" s="10">
        <v>33848.0</v>
      </c>
      <c r="B83" s="55">
        <v>98.0291</v>
      </c>
      <c r="C83" s="55">
        <v>6.0</v>
      </c>
      <c r="D83" s="55">
        <v>31.0</v>
      </c>
      <c r="E83" s="55">
        <v>2.0</v>
      </c>
      <c r="F83" s="55">
        <v>16.0</v>
      </c>
      <c r="G83" s="55">
        <v>20.0</v>
      </c>
      <c r="H83" s="55">
        <v>15.0</v>
      </c>
      <c r="I83" s="55">
        <v>97.352</v>
      </c>
      <c r="J83" s="55">
        <v>103.744</v>
      </c>
      <c r="K83" s="55">
        <v>97.717</v>
      </c>
      <c r="L83" s="55">
        <v>96.164</v>
      </c>
      <c r="M83" s="55">
        <v>95.89</v>
      </c>
      <c r="N83" s="56"/>
    </row>
    <row r="84" ht="15.75" customHeight="1">
      <c r="A84" s="10">
        <v>33878.0</v>
      </c>
      <c r="B84" s="55">
        <v>100.367</v>
      </c>
      <c r="C84" s="55">
        <v>6.0</v>
      </c>
      <c r="D84" s="55">
        <v>31.0</v>
      </c>
      <c r="E84" s="55">
        <v>2.0</v>
      </c>
      <c r="F84" s="55">
        <v>17.0</v>
      </c>
      <c r="G84" s="55">
        <v>28.0</v>
      </c>
      <c r="H84" s="55">
        <v>16.8</v>
      </c>
      <c r="I84" s="55">
        <v>100.731</v>
      </c>
      <c r="J84" s="55">
        <v>105.571</v>
      </c>
      <c r="K84" s="55">
        <v>98.447</v>
      </c>
      <c r="L84" s="55">
        <v>98.356</v>
      </c>
      <c r="M84" s="55">
        <v>97.9</v>
      </c>
      <c r="N84" s="56"/>
    </row>
    <row r="85" ht="15.75" customHeight="1">
      <c r="A85" s="10">
        <v>33909.0</v>
      </c>
      <c r="B85" s="55">
        <v>100.668</v>
      </c>
      <c r="C85" s="55">
        <v>7.0</v>
      </c>
      <c r="D85" s="55">
        <v>30.0</v>
      </c>
      <c r="E85" s="55">
        <v>3.0</v>
      </c>
      <c r="F85" s="55">
        <v>22.0</v>
      </c>
      <c r="G85" s="55">
        <v>27.0</v>
      </c>
      <c r="H85" s="55">
        <v>17.8</v>
      </c>
      <c r="I85" s="55">
        <v>98.447</v>
      </c>
      <c r="J85" s="55">
        <v>106.21</v>
      </c>
      <c r="K85" s="55">
        <v>98.995</v>
      </c>
      <c r="L85" s="55">
        <v>99.817</v>
      </c>
      <c r="M85" s="55">
        <v>100.731</v>
      </c>
      <c r="N85" s="56"/>
    </row>
    <row r="86" ht="15.75" customHeight="1">
      <c r="A86" s="10">
        <v>33939.0</v>
      </c>
      <c r="B86" s="55">
        <v>100.65</v>
      </c>
      <c r="C86" s="55">
        <v>7.0</v>
      </c>
      <c r="D86" s="55">
        <v>32.0</v>
      </c>
      <c r="E86" s="55">
        <v>6.0</v>
      </c>
      <c r="F86" s="55">
        <v>20.0</v>
      </c>
      <c r="G86" s="55">
        <v>26.0</v>
      </c>
      <c r="H86" s="55">
        <v>18.2</v>
      </c>
      <c r="I86" s="55">
        <v>98.721</v>
      </c>
      <c r="J86" s="55">
        <v>104.475</v>
      </c>
      <c r="K86" s="55">
        <v>104.566</v>
      </c>
      <c r="L86" s="55">
        <v>99.452</v>
      </c>
      <c r="M86" s="55">
        <v>99.178</v>
      </c>
      <c r="N86" s="56"/>
    </row>
    <row r="87" ht="15.75" customHeight="1">
      <c r="A87" s="10">
        <v>33970.0</v>
      </c>
      <c r="B87" s="55">
        <v>98.3304</v>
      </c>
      <c r="C87" s="55">
        <v>7.0</v>
      </c>
      <c r="D87" s="55">
        <v>33.0</v>
      </c>
      <c r="E87" s="55">
        <v>4.0</v>
      </c>
      <c r="F87" s="55">
        <v>8.0</v>
      </c>
      <c r="G87" s="55">
        <v>21.0</v>
      </c>
      <c r="H87" s="55">
        <v>14.6</v>
      </c>
      <c r="I87" s="55">
        <v>99.361</v>
      </c>
      <c r="J87" s="55">
        <v>98.995</v>
      </c>
      <c r="K87" s="55">
        <v>98.813</v>
      </c>
      <c r="L87" s="55">
        <v>97.717</v>
      </c>
      <c r="M87" s="55">
        <v>97.717</v>
      </c>
      <c r="N87" s="56"/>
    </row>
    <row r="88" ht="15.75" customHeight="1">
      <c r="A88" s="10">
        <v>34001.0</v>
      </c>
      <c r="B88" s="55">
        <v>97.4446</v>
      </c>
      <c r="C88" s="55">
        <v>9.0</v>
      </c>
      <c r="D88" s="55">
        <v>32.0</v>
      </c>
      <c r="E88" s="55">
        <v>10.0</v>
      </c>
      <c r="F88" s="55">
        <v>-3.0</v>
      </c>
      <c r="G88" s="55">
        <v>19.0</v>
      </c>
      <c r="H88" s="55">
        <v>13.4</v>
      </c>
      <c r="I88" s="55">
        <v>97.9</v>
      </c>
      <c r="J88" s="55">
        <v>101.553</v>
      </c>
      <c r="K88" s="55">
        <v>104.11</v>
      </c>
      <c r="L88" s="55">
        <v>95.708</v>
      </c>
      <c r="M88" s="55">
        <v>97.169</v>
      </c>
      <c r="N88" s="56"/>
    </row>
    <row r="89" ht="15.75" customHeight="1">
      <c r="A89" s="10">
        <v>34029.0</v>
      </c>
      <c r="B89" s="55">
        <v>95.4448</v>
      </c>
      <c r="C89" s="55">
        <v>9.0</v>
      </c>
      <c r="D89" s="55">
        <v>32.0</v>
      </c>
      <c r="E89" s="55">
        <v>3.0</v>
      </c>
      <c r="F89" s="55">
        <v>-7.0</v>
      </c>
      <c r="G89" s="55">
        <v>14.0</v>
      </c>
      <c r="H89" s="55">
        <v>10.2</v>
      </c>
      <c r="I89" s="55">
        <v>94.612</v>
      </c>
      <c r="J89" s="55">
        <v>97.991</v>
      </c>
      <c r="K89" s="55">
        <v>94.886</v>
      </c>
      <c r="L89" s="55">
        <v>99.178</v>
      </c>
      <c r="M89" s="55">
        <v>93.79</v>
      </c>
      <c r="N89" s="56"/>
    </row>
    <row r="90" ht="15.75" customHeight="1">
      <c r="A90" s="10">
        <v>34060.0</v>
      </c>
      <c r="B90" s="55">
        <v>93.7372</v>
      </c>
      <c r="C90" s="55">
        <v>9.0</v>
      </c>
      <c r="D90" s="55">
        <v>32.0</v>
      </c>
      <c r="E90" s="55">
        <v>1.0</v>
      </c>
      <c r="F90" s="55">
        <v>-20.0</v>
      </c>
      <c r="G90" s="55">
        <v>15.0</v>
      </c>
      <c r="H90" s="55">
        <v>7.4</v>
      </c>
      <c r="I90" s="55">
        <v>94.521</v>
      </c>
      <c r="J90" s="55">
        <v>94.429</v>
      </c>
      <c r="K90" s="55">
        <v>93.242</v>
      </c>
      <c r="L90" s="55">
        <v>89.68</v>
      </c>
      <c r="M90" s="55">
        <v>94.247</v>
      </c>
      <c r="N90" s="56"/>
    </row>
    <row r="91" ht="15.75" customHeight="1">
      <c r="A91" s="10">
        <v>34090.0</v>
      </c>
      <c r="B91" s="55">
        <v>92.8879</v>
      </c>
      <c r="C91" s="55">
        <v>6.0</v>
      </c>
      <c r="D91" s="55">
        <v>32.0</v>
      </c>
      <c r="E91" s="55">
        <v>2.0</v>
      </c>
      <c r="F91" s="55">
        <v>-22.0</v>
      </c>
      <c r="G91" s="55">
        <v>10.0</v>
      </c>
      <c r="H91" s="55">
        <v>5.6</v>
      </c>
      <c r="I91" s="55">
        <v>96.986</v>
      </c>
      <c r="J91" s="55">
        <v>96.347</v>
      </c>
      <c r="K91" s="55">
        <v>90.685</v>
      </c>
      <c r="L91" s="55">
        <v>95.616</v>
      </c>
      <c r="M91" s="55">
        <v>91.872</v>
      </c>
      <c r="N91" s="56"/>
    </row>
    <row r="92" ht="15.75" customHeight="1">
      <c r="A92" s="10">
        <v>34121.0</v>
      </c>
      <c r="B92" s="55">
        <v>93.8102</v>
      </c>
      <c r="C92" s="55">
        <v>5.0</v>
      </c>
      <c r="D92" s="55">
        <v>31.0</v>
      </c>
      <c r="E92" s="55">
        <v>0.0</v>
      </c>
      <c r="F92" s="55">
        <v>-16.0</v>
      </c>
      <c r="G92" s="55">
        <v>12.0</v>
      </c>
      <c r="H92" s="55">
        <v>6.4</v>
      </c>
      <c r="I92" s="55">
        <v>93.425</v>
      </c>
      <c r="J92" s="55">
        <v>96.804</v>
      </c>
      <c r="K92" s="55">
        <v>97.9</v>
      </c>
      <c r="L92" s="55">
        <v>91.324</v>
      </c>
      <c r="M92" s="55">
        <v>91.324</v>
      </c>
      <c r="N92" s="56"/>
    </row>
    <row r="93" ht="15.75" customHeight="1">
      <c r="A93" s="10">
        <v>34151.0</v>
      </c>
      <c r="B93" s="55">
        <v>92.4222</v>
      </c>
      <c r="C93" s="55">
        <v>4.0</v>
      </c>
      <c r="D93" s="55">
        <v>30.0</v>
      </c>
      <c r="E93" s="55">
        <v>2.0</v>
      </c>
      <c r="F93" s="55">
        <v>-25.0</v>
      </c>
      <c r="G93" s="55">
        <v>11.0</v>
      </c>
      <c r="H93" s="55">
        <v>4.4</v>
      </c>
      <c r="I93" s="55">
        <v>92.511</v>
      </c>
      <c r="J93" s="55">
        <v>94.521</v>
      </c>
      <c r="K93" s="55">
        <v>94.338</v>
      </c>
      <c r="L93" s="55">
        <v>92.42</v>
      </c>
      <c r="M93" s="55">
        <v>92.42</v>
      </c>
      <c r="N93" s="56"/>
    </row>
    <row r="94" ht="15.75" customHeight="1">
      <c r="A94" s="10">
        <v>34182.0</v>
      </c>
      <c r="B94" s="55">
        <v>94.1116</v>
      </c>
      <c r="C94" s="55">
        <v>7.0</v>
      </c>
      <c r="D94" s="55">
        <v>32.0</v>
      </c>
      <c r="E94" s="55">
        <v>2.0</v>
      </c>
      <c r="F94" s="55">
        <v>-18.0</v>
      </c>
      <c r="G94" s="55">
        <v>9.0</v>
      </c>
      <c r="H94" s="55">
        <v>6.4</v>
      </c>
      <c r="I94" s="55">
        <v>94.703</v>
      </c>
      <c r="J94" s="55">
        <v>94.886</v>
      </c>
      <c r="K94" s="55">
        <v>90.228</v>
      </c>
      <c r="L94" s="55">
        <v>91.507</v>
      </c>
      <c r="M94" s="55">
        <v>95.616</v>
      </c>
      <c r="N94" s="56"/>
    </row>
    <row r="95" ht="15.75" customHeight="1">
      <c r="A95" s="10">
        <v>34213.0</v>
      </c>
      <c r="B95" s="55">
        <v>94.9243</v>
      </c>
      <c r="C95" s="55">
        <v>7.0</v>
      </c>
      <c r="D95" s="55">
        <v>32.0</v>
      </c>
      <c r="E95" s="55">
        <v>-1.0</v>
      </c>
      <c r="F95" s="55">
        <v>-14.0</v>
      </c>
      <c r="G95" s="55">
        <v>15.0</v>
      </c>
      <c r="H95" s="55">
        <v>7.8</v>
      </c>
      <c r="I95" s="55">
        <v>93.059</v>
      </c>
      <c r="J95" s="55">
        <v>99.361</v>
      </c>
      <c r="K95" s="55">
        <v>93.059</v>
      </c>
      <c r="L95" s="55">
        <v>90.228</v>
      </c>
      <c r="M95" s="55">
        <v>94.155</v>
      </c>
      <c r="N95" s="56"/>
    </row>
    <row r="96" ht="15.75" customHeight="1">
      <c r="A96" s="10">
        <v>34243.0</v>
      </c>
      <c r="B96" s="55">
        <v>98.5404</v>
      </c>
      <c r="C96" s="55">
        <v>10.0</v>
      </c>
      <c r="D96" s="55">
        <v>34.0</v>
      </c>
      <c r="E96" s="55">
        <v>8.0</v>
      </c>
      <c r="F96" s="55">
        <v>-10.0</v>
      </c>
      <c r="G96" s="55">
        <v>23.0</v>
      </c>
      <c r="H96" s="55">
        <v>13.0</v>
      </c>
      <c r="I96" s="55">
        <v>100.639</v>
      </c>
      <c r="J96" s="55">
        <v>102.466</v>
      </c>
      <c r="K96" s="55">
        <v>96.438</v>
      </c>
      <c r="L96" s="55">
        <v>97.534</v>
      </c>
      <c r="M96" s="55">
        <v>98.174</v>
      </c>
      <c r="N96" s="56"/>
    </row>
    <row r="97" ht="15.75" customHeight="1">
      <c r="A97" s="10">
        <v>34274.0</v>
      </c>
      <c r="B97" s="55">
        <v>98.1113</v>
      </c>
      <c r="C97" s="55">
        <v>11.0</v>
      </c>
      <c r="D97" s="55">
        <v>30.0</v>
      </c>
      <c r="E97" s="55">
        <v>3.0</v>
      </c>
      <c r="F97" s="55">
        <v>-4.0</v>
      </c>
      <c r="G97" s="55">
        <v>18.0</v>
      </c>
      <c r="H97" s="55">
        <v>11.6</v>
      </c>
      <c r="I97" s="55">
        <v>102.1</v>
      </c>
      <c r="J97" s="55">
        <v>100.274</v>
      </c>
      <c r="K97" s="55">
        <v>103.105</v>
      </c>
      <c r="L97" s="55">
        <v>103.47</v>
      </c>
      <c r="M97" s="55">
        <v>94.795</v>
      </c>
      <c r="N97" s="56"/>
    </row>
    <row r="98" ht="15.75" customHeight="1">
      <c r="A98" s="10">
        <v>34304.0</v>
      </c>
      <c r="B98" s="55">
        <v>99.6454</v>
      </c>
      <c r="C98" s="55">
        <v>11.0</v>
      </c>
      <c r="D98" s="55">
        <v>33.0</v>
      </c>
      <c r="E98" s="55">
        <v>5.0</v>
      </c>
      <c r="F98" s="55">
        <v>4.0</v>
      </c>
      <c r="G98" s="55">
        <v>21.0</v>
      </c>
      <c r="H98" s="55">
        <v>14.8</v>
      </c>
      <c r="I98" s="55">
        <v>99.909</v>
      </c>
      <c r="J98" s="55">
        <v>100.639</v>
      </c>
      <c r="K98" s="55">
        <v>100.822</v>
      </c>
      <c r="L98" s="55">
        <v>99.909</v>
      </c>
      <c r="M98" s="55">
        <v>99.087</v>
      </c>
      <c r="N98" s="56"/>
    </row>
    <row r="99" ht="15.75" customHeight="1">
      <c r="A99" s="10">
        <v>34335.0</v>
      </c>
      <c r="B99" s="55">
        <v>99.8828</v>
      </c>
      <c r="C99" s="55">
        <v>12.0</v>
      </c>
      <c r="D99" s="55">
        <v>32.0</v>
      </c>
      <c r="E99" s="55">
        <v>5.0</v>
      </c>
      <c r="F99" s="55">
        <v>4.0</v>
      </c>
      <c r="G99" s="55">
        <v>20.0</v>
      </c>
      <c r="H99" s="55">
        <v>14.6</v>
      </c>
      <c r="I99" s="55">
        <v>100.913</v>
      </c>
      <c r="J99" s="55">
        <v>100.639</v>
      </c>
      <c r="K99" s="55">
        <v>104.201</v>
      </c>
      <c r="L99" s="55">
        <v>101.37</v>
      </c>
      <c r="M99" s="55">
        <v>99.269</v>
      </c>
      <c r="N99" s="56"/>
    </row>
    <row r="100" ht="15.75" customHeight="1">
      <c r="A100" s="10">
        <v>34366.0</v>
      </c>
      <c r="B100" s="55">
        <v>100.093</v>
      </c>
      <c r="C100" s="55">
        <v>17.0</v>
      </c>
      <c r="D100" s="55">
        <v>36.0</v>
      </c>
      <c r="E100" s="55">
        <v>3.0</v>
      </c>
      <c r="F100" s="55">
        <v>4.0</v>
      </c>
      <c r="G100" s="55">
        <v>26.0</v>
      </c>
      <c r="H100" s="55">
        <v>17.2</v>
      </c>
      <c r="I100" s="55">
        <v>102.831</v>
      </c>
      <c r="J100" s="55">
        <v>107.215</v>
      </c>
      <c r="K100" s="55">
        <v>106.21</v>
      </c>
      <c r="L100" s="55">
        <v>97.9</v>
      </c>
      <c r="M100" s="55">
        <v>98.63</v>
      </c>
      <c r="N100" s="56"/>
    </row>
    <row r="101" ht="15.75" customHeight="1">
      <c r="A101" s="10">
        <v>34394.0</v>
      </c>
      <c r="B101" s="55">
        <v>98.0017</v>
      </c>
      <c r="C101" s="55">
        <v>11.0</v>
      </c>
      <c r="D101" s="55">
        <v>34.0</v>
      </c>
      <c r="E101" s="55">
        <v>4.0</v>
      </c>
      <c r="F101" s="55">
        <v>-3.0</v>
      </c>
      <c r="G101" s="55">
        <v>20.0</v>
      </c>
      <c r="H101" s="55">
        <v>13.2</v>
      </c>
      <c r="I101" s="55">
        <v>97.626</v>
      </c>
      <c r="J101" s="55">
        <v>102.283</v>
      </c>
      <c r="K101" s="55">
        <v>102.557</v>
      </c>
      <c r="L101" s="55">
        <v>99.635</v>
      </c>
      <c r="M101" s="55">
        <v>96.073</v>
      </c>
      <c r="N101" s="56"/>
    </row>
    <row r="102" ht="15.75" customHeight="1">
      <c r="A102" s="10">
        <v>34425.0</v>
      </c>
      <c r="B102" s="55">
        <v>98.4857</v>
      </c>
      <c r="C102" s="55">
        <v>13.0</v>
      </c>
      <c r="D102" s="55">
        <v>32.0</v>
      </c>
      <c r="E102" s="55">
        <v>6.0</v>
      </c>
      <c r="F102" s="55">
        <v>-3.0</v>
      </c>
      <c r="G102" s="55">
        <v>23.0</v>
      </c>
      <c r="H102" s="55">
        <v>14.2</v>
      </c>
      <c r="I102" s="55">
        <v>98.539</v>
      </c>
      <c r="J102" s="55">
        <v>103.562</v>
      </c>
      <c r="K102" s="55">
        <v>100.0</v>
      </c>
      <c r="L102" s="55">
        <v>97.534</v>
      </c>
      <c r="M102" s="55">
        <v>98.539</v>
      </c>
      <c r="N102" s="56"/>
    </row>
    <row r="103" ht="15.75" customHeight="1">
      <c r="A103" s="10">
        <v>34455.0</v>
      </c>
      <c r="B103" s="55">
        <v>98.9148</v>
      </c>
      <c r="C103" s="55">
        <v>10.0</v>
      </c>
      <c r="D103" s="55">
        <v>33.0</v>
      </c>
      <c r="E103" s="55">
        <v>6.0</v>
      </c>
      <c r="F103" s="55">
        <v>-1.0</v>
      </c>
      <c r="G103" s="55">
        <v>23.0</v>
      </c>
      <c r="H103" s="55">
        <v>14.2</v>
      </c>
      <c r="I103" s="55">
        <v>101.187</v>
      </c>
      <c r="J103" s="55">
        <v>104.658</v>
      </c>
      <c r="K103" s="55">
        <v>101.187</v>
      </c>
      <c r="L103" s="55">
        <v>101.37</v>
      </c>
      <c r="M103" s="55">
        <v>96.53</v>
      </c>
      <c r="N103" s="56"/>
    </row>
    <row r="104" ht="15.75" customHeight="1">
      <c r="A104" s="10">
        <v>34486.0</v>
      </c>
      <c r="B104" s="55">
        <v>98.65</v>
      </c>
      <c r="C104" s="55">
        <v>12.0</v>
      </c>
      <c r="D104" s="55">
        <v>35.0</v>
      </c>
      <c r="E104" s="55">
        <v>5.0</v>
      </c>
      <c r="F104" s="55">
        <v>-6.0</v>
      </c>
      <c r="G104" s="55">
        <v>18.0</v>
      </c>
      <c r="H104" s="55">
        <v>12.8</v>
      </c>
      <c r="I104" s="55">
        <v>99.543</v>
      </c>
      <c r="J104" s="55">
        <v>101.826</v>
      </c>
      <c r="K104" s="55">
        <v>98.356</v>
      </c>
      <c r="L104" s="55">
        <v>100.639</v>
      </c>
      <c r="M104" s="55">
        <v>96.804</v>
      </c>
      <c r="N104" s="56"/>
    </row>
    <row r="105" ht="15.75" customHeight="1">
      <c r="A105" s="10">
        <v>34516.0</v>
      </c>
      <c r="B105" s="55">
        <v>98.997</v>
      </c>
      <c r="C105" s="55">
        <v>9.0</v>
      </c>
      <c r="D105" s="55">
        <v>33.0</v>
      </c>
      <c r="E105" s="55">
        <v>6.0</v>
      </c>
      <c r="F105" s="55">
        <v>-1.0</v>
      </c>
      <c r="G105" s="55">
        <v>21.0</v>
      </c>
      <c r="H105" s="55">
        <v>13.6</v>
      </c>
      <c r="I105" s="55">
        <v>96.438</v>
      </c>
      <c r="J105" s="55">
        <v>98.904</v>
      </c>
      <c r="K105" s="55">
        <v>104.292</v>
      </c>
      <c r="L105" s="55">
        <v>96.164</v>
      </c>
      <c r="M105" s="55">
        <v>100.091</v>
      </c>
      <c r="N105" s="56"/>
    </row>
    <row r="106" ht="15.75" customHeight="1">
      <c r="A106" s="10">
        <v>34547.0</v>
      </c>
      <c r="B106" s="55">
        <v>99.408</v>
      </c>
      <c r="C106" s="55">
        <v>10.0</v>
      </c>
      <c r="D106" s="55">
        <v>33.0</v>
      </c>
      <c r="E106" s="55">
        <v>2.0</v>
      </c>
      <c r="F106" s="55">
        <v>-2.0</v>
      </c>
      <c r="G106" s="55">
        <v>28.0</v>
      </c>
      <c r="H106" s="55">
        <v>14.2</v>
      </c>
      <c r="I106" s="55">
        <v>97.717</v>
      </c>
      <c r="J106" s="55">
        <v>103.196</v>
      </c>
      <c r="K106" s="55">
        <v>101.553</v>
      </c>
      <c r="L106" s="55">
        <v>104.11</v>
      </c>
      <c r="M106" s="55">
        <v>98.356</v>
      </c>
      <c r="N106" s="56"/>
    </row>
    <row r="107" ht="15.75" customHeight="1">
      <c r="A107" s="10">
        <v>34578.0</v>
      </c>
      <c r="B107" s="55">
        <v>99.9467</v>
      </c>
      <c r="C107" s="55">
        <v>14.0</v>
      </c>
      <c r="D107" s="55">
        <v>35.0</v>
      </c>
      <c r="E107" s="55">
        <v>4.0</v>
      </c>
      <c r="F107" s="55">
        <v>0.0</v>
      </c>
      <c r="G107" s="55">
        <v>25.0</v>
      </c>
      <c r="H107" s="55">
        <v>15.6</v>
      </c>
      <c r="I107" s="55">
        <v>98.813</v>
      </c>
      <c r="J107" s="55">
        <v>104.384</v>
      </c>
      <c r="K107" s="55">
        <v>105.662</v>
      </c>
      <c r="L107" s="55">
        <v>100.274</v>
      </c>
      <c r="M107" s="55">
        <v>98.721</v>
      </c>
      <c r="N107" s="56"/>
    </row>
    <row r="108" ht="15.75" customHeight="1">
      <c r="A108" s="10">
        <v>34608.0</v>
      </c>
      <c r="B108" s="55">
        <v>103.745</v>
      </c>
      <c r="C108" s="55">
        <v>17.0</v>
      </c>
      <c r="D108" s="55">
        <v>37.0</v>
      </c>
      <c r="E108" s="55">
        <v>7.0</v>
      </c>
      <c r="F108" s="55">
        <v>9.0</v>
      </c>
      <c r="G108" s="55">
        <v>27.0</v>
      </c>
      <c r="H108" s="55">
        <v>19.4</v>
      </c>
      <c r="I108" s="55">
        <v>100.913</v>
      </c>
      <c r="J108" s="55">
        <v>107.671</v>
      </c>
      <c r="K108" s="55">
        <v>108.493</v>
      </c>
      <c r="L108" s="55">
        <v>110.228</v>
      </c>
      <c r="M108" s="55">
        <v>100.274</v>
      </c>
      <c r="N108" s="56"/>
    </row>
    <row r="109" ht="15.75" customHeight="1">
      <c r="A109" s="10">
        <v>34639.0</v>
      </c>
      <c r="B109" s="55">
        <v>101.216</v>
      </c>
      <c r="C109" s="55">
        <v>9.0</v>
      </c>
      <c r="D109" s="55">
        <v>37.0</v>
      </c>
      <c r="E109" s="55">
        <v>3.0</v>
      </c>
      <c r="F109" s="55">
        <v>13.0</v>
      </c>
      <c r="G109" s="55">
        <v>24.0</v>
      </c>
      <c r="H109" s="55">
        <v>17.2</v>
      </c>
      <c r="I109" s="55">
        <v>97.717</v>
      </c>
      <c r="J109" s="55">
        <v>105.845</v>
      </c>
      <c r="K109" s="55">
        <v>105.936</v>
      </c>
      <c r="L109" s="55">
        <v>99.452</v>
      </c>
      <c r="M109" s="55">
        <v>98.539</v>
      </c>
      <c r="N109" s="56"/>
    </row>
    <row r="110" ht="15.75" customHeight="1">
      <c r="A110" s="10">
        <v>34669.0</v>
      </c>
      <c r="B110" s="55">
        <v>101.837</v>
      </c>
      <c r="C110" s="55">
        <v>14.0</v>
      </c>
      <c r="D110" s="55">
        <v>38.0</v>
      </c>
      <c r="E110" s="55">
        <v>6.0</v>
      </c>
      <c r="F110" s="55">
        <v>11.0</v>
      </c>
      <c r="G110" s="55">
        <v>23.0</v>
      </c>
      <c r="H110" s="55">
        <v>18.4</v>
      </c>
      <c r="I110" s="55">
        <v>101.918</v>
      </c>
      <c r="J110" s="55">
        <v>108.402</v>
      </c>
      <c r="K110" s="55">
        <v>105.662</v>
      </c>
      <c r="L110" s="55">
        <v>99.269</v>
      </c>
      <c r="M110" s="55">
        <v>99.543</v>
      </c>
      <c r="N110" s="56"/>
    </row>
    <row r="111" ht="15.75" customHeight="1">
      <c r="A111" s="10">
        <v>34700.0</v>
      </c>
      <c r="B111" s="55">
        <v>100.705</v>
      </c>
      <c r="C111" s="55">
        <v>19.0</v>
      </c>
      <c r="D111" s="55">
        <v>36.0</v>
      </c>
      <c r="E111" s="55">
        <v>8.0</v>
      </c>
      <c r="F111" s="55">
        <v>2.0</v>
      </c>
      <c r="G111" s="55">
        <v>28.0</v>
      </c>
      <c r="H111" s="55">
        <v>18.6</v>
      </c>
      <c r="I111" s="55">
        <v>103.014</v>
      </c>
      <c r="J111" s="55">
        <v>105.936</v>
      </c>
      <c r="K111" s="55">
        <v>104.749</v>
      </c>
      <c r="L111" s="55">
        <v>103.014</v>
      </c>
      <c r="M111" s="55">
        <v>99.817</v>
      </c>
      <c r="N111" s="56"/>
    </row>
    <row r="112" ht="15.75" customHeight="1">
      <c r="A112" s="10">
        <v>34731.0</v>
      </c>
      <c r="B112" s="55">
        <v>100.458</v>
      </c>
      <c r="C112" s="55">
        <v>19.0</v>
      </c>
      <c r="D112" s="55">
        <v>38.0</v>
      </c>
      <c r="E112" s="55">
        <v>10.0</v>
      </c>
      <c r="F112" s="55">
        <v>6.0</v>
      </c>
      <c r="G112" s="55">
        <v>25.0</v>
      </c>
      <c r="H112" s="55">
        <v>19.6</v>
      </c>
      <c r="I112" s="55">
        <v>103.653</v>
      </c>
      <c r="J112" s="55">
        <v>103.47</v>
      </c>
      <c r="K112" s="55">
        <v>104.749</v>
      </c>
      <c r="L112" s="55">
        <v>99.817</v>
      </c>
      <c r="M112" s="55">
        <v>102.192</v>
      </c>
      <c r="N112" s="56"/>
    </row>
    <row r="113" ht="15.75" customHeight="1">
      <c r="A113" s="10">
        <v>34759.0</v>
      </c>
      <c r="B113" s="55">
        <v>100.193</v>
      </c>
      <c r="C113" s="55">
        <v>15.0</v>
      </c>
      <c r="D113" s="55">
        <v>37.0</v>
      </c>
      <c r="E113" s="55">
        <v>2.0</v>
      </c>
      <c r="F113" s="55">
        <v>3.0</v>
      </c>
      <c r="G113" s="55">
        <v>20.0</v>
      </c>
      <c r="H113" s="55">
        <v>15.4</v>
      </c>
      <c r="I113" s="55">
        <v>99.361</v>
      </c>
      <c r="J113" s="55">
        <v>105.023</v>
      </c>
      <c r="K113" s="55">
        <v>96.712</v>
      </c>
      <c r="L113" s="55">
        <v>98.447</v>
      </c>
      <c r="M113" s="55">
        <v>99.452</v>
      </c>
      <c r="N113" s="56"/>
    </row>
    <row r="114" ht="15.75" customHeight="1">
      <c r="A114" s="10">
        <v>34790.0</v>
      </c>
      <c r="B114" s="55">
        <v>99.5815</v>
      </c>
      <c r="C114" s="55">
        <v>16.0</v>
      </c>
      <c r="D114" s="55">
        <v>39.0</v>
      </c>
      <c r="E114" s="55">
        <v>5.0</v>
      </c>
      <c r="F114" s="55">
        <v>0.0</v>
      </c>
      <c r="G114" s="55">
        <v>18.0</v>
      </c>
      <c r="H114" s="55">
        <v>15.6</v>
      </c>
      <c r="I114" s="55">
        <v>100.548</v>
      </c>
      <c r="J114" s="55">
        <v>101.644</v>
      </c>
      <c r="K114" s="55">
        <v>100.548</v>
      </c>
      <c r="L114" s="55">
        <v>98.174</v>
      </c>
      <c r="M114" s="55">
        <v>99.361</v>
      </c>
      <c r="N114" s="56"/>
    </row>
    <row r="115" ht="15.75" customHeight="1">
      <c r="A115" s="10">
        <v>34820.0</v>
      </c>
      <c r="B115" s="55">
        <v>99.5541</v>
      </c>
      <c r="C115" s="55">
        <v>13.0</v>
      </c>
      <c r="D115" s="55">
        <v>38.0</v>
      </c>
      <c r="E115" s="55">
        <v>8.0</v>
      </c>
      <c r="F115" s="55">
        <v>-2.0</v>
      </c>
      <c r="G115" s="55">
        <v>19.0</v>
      </c>
      <c r="H115" s="55">
        <v>15.2</v>
      </c>
      <c r="I115" s="55">
        <v>101.644</v>
      </c>
      <c r="J115" s="55">
        <v>102.557</v>
      </c>
      <c r="K115" s="55">
        <v>102.283</v>
      </c>
      <c r="L115" s="55">
        <v>101.461</v>
      </c>
      <c r="M115" s="55">
        <v>97.352</v>
      </c>
      <c r="N115" s="56"/>
    </row>
    <row r="116" ht="15.75" customHeight="1">
      <c r="A116" s="10">
        <v>34851.0</v>
      </c>
      <c r="B116" s="55">
        <v>100.294</v>
      </c>
      <c r="C116" s="55">
        <v>14.0</v>
      </c>
      <c r="D116" s="55">
        <v>36.0</v>
      </c>
      <c r="E116" s="55">
        <v>6.0</v>
      </c>
      <c r="F116" s="55">
        <v>2.0</v>
      </c>
      <c r="G116" s="55">
        <v>21.0</v>
      </c>
      <c r="H116" s="55">
        <v>15.8</v>
      </c>
      <c r="I116" s="55">
        <v>99.909</v>
      </c>
      <c r="J116" s="55">
        <v>103.744</v>
      </c>
      <c r="K116" s="55">
        <v>97.443</v>
      </c>
      <c r="L116" s="55">
        <v>102.466</v>
      </c>
      <c r="M116" s="55">
        <v>97.991</v>
      </c>
      <c r="N116" s="56"/>
    </row>
    <row r="117" ht="15.75" customHeight="1">
      <c r="A117" s="10">
        <v>34881.0</v>
      </c>
      <c r="B117" s="55">
        <v>100.275</v>
      </c>
      <c r="C117" s="55">
        <v>14.0</v>
      </c>
      <c r="D117" s="55">
        <v>34.0</v>
      </c>
      <c r="E117" s="55">
        <v>6.0</v>
      </c>
      <c r="F117" s="55">
        <v>5.0</v>
      </c>
      <c r="G117" s="55">
        <v>23.0</v>
      </c>
      <c r="H117" s="55">
        <v>16.4</v>
      </c>
      <c r="I117" s="55">
        <v>97.991</v>
      </c>
      <c r="J117" s="55">
        <v>105.753</v>
      </c>
      <c r="K117" s="55">
        <v>101.735</v>
      </c>
      <c r="L117" s="55">
        <v>102.648</v>
      </c>
      <c r="M117" s="55">
        <v>97.352</v>
      </c>
      <c r="N117" s="56"/>
    </row>
    <row r="118" ht="15.75" customHeight="1">
      <c r="A118" s="10">
        <v>34912.0</v>
      </c>
      <c r="B118" s="55">
        <v>101.6</v>
      </c>
      <c r="C118" s="55">
        <v>17.0</v>
      </c>
      <c r="D118" s="55">
        <v>37.0</v>
      </c>
      <c r="E118" s="55">
        <v>7.0</v>
      </c>
      <c r="F118" s="55">
        <v>7.0</v>
      </c>
      <c r="G118" s="55">
        <v>25.0</v>
      </c>
      <c r="H118" s="55">
        <v>18.6</v>
      </c>
      <c r="I118" s="55">
        <v>102.283</v>
      </c>
      <c r="J118" s="55">
        <v>109.224</v>
      </c>
      <c r="K118" s="55">
        <v>94.612</v>
      </c>
      <c r="L118" s="55">
        <v>109.406</v>
      </c>
      <c r="M118" s="55">
        <v>97.717</v>
      </c>
      <c r="N118" s="56"/>
    </row>
    <row r="119" ht="15.75" customHeight="1">
      <c r="A119" s="10">
        <v>34943.0</v>
      </c>
      <c r="B119" s="55">
        <v>101.316</v>
      </c>
      <c r="C119" s="55">
        <v>12.0</v>
      </c>
      <c r="D119" s="55">
        <v>37.0</v>
      </c>
      <c r="E119" s="55">
        <v>4.0</v>
      </c>
      <c r="F119" s="55">
        <v>10.0</v>
      </c>
      <c r="G119" s="55">
        <v>20.0</v>
      </c>
      <c r="H119" s="55">
        <v>16.6</v>
      </c>
      <c r="I119" s="55">
        <v>99.909</v>
      </c>
      <c r="J119" s="55">
        <v>107.58</v>
      </c>
      <c r="K119" s="55">
        <v>103.196</v>
      </c>
      <c r="L119" s="55">
        <v>102.466</v>
      </c>
      <c r="M119" s="55">
        <v>98.447</v>
      </c>
      <c r="N119" s="56"/>
    </row>
    <row r="120" ht="15.75" customHeight="1">
      <c r="A120" s="10">
        <v>34973.0</v>
      </c>
      <c r="B120" s="55">
        <v>101.828</v>
      </c>
      <c r="C120" s="55">
        <v>14.0</v>
      </c>
      <c r="D120" s="55">
        <v>39.0</v>
      </c>
      <c r="E120" s="55">
        <v>5.0</v>
      </c>
      <c r="F120" s="55">
        <v>9.0</v>
      </c>
      <c r="G120" s="55">
        <v>16.0</v>
      </c>
      <c r="H120" s="55">
        <v>16.6</v>
      </c>
      <c r="I120" s="55">
        <v>100.548</v>
      </c>
      <c r="J120" s="55">
        <v>106.027</v>
      </c>
      <c r="K120" s="55">
        <v>98.995</v>
      </c>
      <c r="L120" s="55">
        <v>101.644</v>
      </c>
      <c r="M120" s="55">
        <v>99.087</v>
      </c>
      <c r="N120" s="56"/>
    </row>
    <row r="121" ht="15.75" customHeight="1">
      <c r="A121" s="10">
        <v>35004.0</v>
      </c>
      <c r="B121" s="55">
        <v>101.125</v>
      </c>
      <c r="C121" s="55">
        <v>14.0</v>
      </c>
      <c r="D121" s="55">
        <v>33.0</v>
      </c>
      <c r="E121" s="55">
        <v>5.0</v>
      </c>
      <c r="F121" s="55">
        <v>3.0</v>
      </c>
      <c r="G121" s="55">
        <v>18.0</v>
      </c>
      <c r="H121" s="55">
        <v>14.6</v>
      </c>
      <c r="I121" s="55">
        <v>100.731</v>
      </c>
      <c r="J121" s="55">
        <v>103.836</v>
      </c>
      <c r="K121" s="55">
        <v>100.913</v>
      </c>
      <c r="L121" s="55">
        <v>100.183</v>
      </c>
      <c r="M121" s="55">
        <v>95.89</v>
      </c>
      <c r="N121" s="56"/>
    </row>
    <row r="122" ht="15.75" customHeight="1">
      <c r="A122" s="10">
        <v>35034.0</v>
      </c>
      <c r="B122" s="55">
        <v>99.5541</v>
      </c>
      <c r="C122" s="55">
        <v>15.0</v>
      </c>
      <c r="D122" s="55">
        <v>40.0</v>
      </c>
      <c r="E122" s="55">
        <v>3.0</v>
      </c>
      <c r="F122" s="55">
        <v>-1.0</v>
      </c>
      <c r="G122" s="55">
        <v>19.0</v>
      </c>
      <c r="H122" s="55">
        <v>15.2</v>
      </c>
      <c r="I122" s="55">
        <v>101.553</v>
      </c>
      <c r="J122" s="55">
        <v>102.831</v>
      </c>
      <c r="K122" s="55">
        <v>100.091</v>
      </c>
      <c r="L122" s="55">
        <v>99.635</v>
      </c>
      <c r="M122" s="55">
        <v>96.073</v>
      </c>
      <c r="N122" s="56"/>
    </row>
    <row r="123" ht="15.75" customHeight="1">
      <c r="A123" s="10">
        <v>35065.0</v>
      </c>
      <c r="B123" s="55">
        <v>100.157</v>
      </c>
      <c r="C123" s="55">
        <v>14.0</v>
      </c>
      <c r="D123" s="55">
        <v>39.0</v>
      </c>
      <c r="E123" s="55">
        <v>4.0</v>
      </c>
      <c r="F123" s="55">
        <v>-2.0</v>
      </c>
      <c r="G123" s="55">
        <v>25.0</v>
      </c>
      <c r="H123" s="55">
        <v>16.0</v>
      </c>
      <c r="I123" s="55">
        <v>100.548</v>
      </c>
      <c r="J123" s="55">
        <v>102.283</v>
      </c>
      <c r="K123" s="55">
        <v>103.105</v>
      </c>
      <c r="L123" s="55">
        <v>98.904</v>
      </c>
      <c r="M123" s="55">
        <v>99.269</v>
      </c>
      <c r="N123" s="56"/>
    </row>
    <row r="124" ht="15.75" customHeight="1">
      <c r="A124" s="10">
        <v>35096.0</v>
      </c>
      <c r="B124" s="55">
        <v>100.823</v>
      </c>
      <c r="C124" s="55">
        <v>15.0</v>
      </c>
      <c r="D124" s="55">
        <v>37.0</v>
      </c>
      <c r="E124" s="55">
        <v>7.0</v>
      </c>
      <c r="F124" s="55">
        <v>1.0</v>
      </c>
      <c r="G124" s="55">
        <v>27.0</v>
      </c>
      <c r="H124" s="55">
        <v>17.4</v>
      </c>
      <c r="I124" s="55">
        <v>104.018</v>
      </c>
      <c r="J124" s="55">
        <v>105.297</v>
      </c>
      <c r="K124" s="55">
        <v>101.461</v>
      </c>
      <c r="L124" s="55">
        <v>104.11</v>
      </c>
      <c r="M124" s="55">
        <v>97.991</v>
      </c>
      <c r="N124" s="56"/>
    </row>
    <row r="125" ht="15.75" customHeight="1">
      <c r="A125" s="10">
        <v>35125.0</v>
      </c>
      <c r="B125" s="55">
        <v>99.6454</v>
      </c>
      <c r="C125" s="55">
        <v>16.0</v>
      </c>
      <c r="D125" s="55">
        <v>35.0</v>
      </c>
      <c r="E125" s="55">
        <v>3.0</v>
      </c>
      <c r="F125" s="55">
        <v>0.0</v>
      </c>
      <c r="G125" s="55">
        <v>24.0</v>
      </c>
      <c r="H125" s="55">
        <v>15.6</v>
      </c>
      <c r="I125" s="55">
        <v>103.014</v>
      </c>
      <c r="J125" s="55">
        <v>102.374</v>
      </c>
      <c r="K125" s="55">
        <v>100.731</v>
      </c>
      <c r="L125" s="55">
        <v>100.274</v>
      </c>
      <c r="M125" s="55">
        <v>98.539</v>
      </c>
      <c r="N125" s="56"/>
    </row>
    <row r="126" ht="15.75" customHeight="1">
      <c r="A126" s="10">
        <v>35156.0</v>
      </c>
      <c r="B126" s="55">
        <v>99.3988</v>
      </c>
      <c r="C126" s="55">
        <v>16.0</v>
      </c>
      <c r="D126" s="55">
        <v>35.0</v>
      </c>
      <c r="E126" s="55">
        <v>2.0</v>
      </c>
      <c r="F126" s="55">
        <v>-4.0</v>
      </c>
      <c r="G126" s="55">
        <v>17.0</v>
      </c>
      <c r="H126" s="55">
        <v>13.2</v>
      </c>
      <c r="I126" s="55">
        <v>102.831</v>
      </c>
      <c r="J126" s="55">
        <v>104.201</v>
      </c>
      <c r="K126" s="55">
        <v>100.822</v>
      </c>
      <c r="L126" s="55">
        <v>92.877</v>
      </c>
      <c r="M126" s="55">
        <v>97.443</v>
      </c>
      <c r="N126" s="56"/>
    </row>
    <row r="127" ht="15.75" customHeight="1">
      <c r="A127" s="10">
        <v>35186.0</v>
      </c>
      <c r="B127" s="55">
        <v>101.38</v>
      </c>
      <c r="C127" s="55">
        <v>17.0</v>
      </c>
      <c r="D127" s="55">
        <v>35.0</v>
      </c>
      <c r="E127" s="55">
        <v>1.0</v>
      </c>
      <c r="F127" s="55">
        <v>3.0</v>
      </c>
      <c r="G127" s="55">
        <v>29.0</v>
      </c>
      <c r="H127" s="55">
        <v>17.0</v>
      </c>
      <c r="I127" s="55">
        <v>100.457</v>
      </c>
      <c r="J127" s="55">
        <v>105.388</v>
      </c>
      <c r="K127" s="55">
        <v>95.799</v>
      </c>
      <c r="L127" s="55">
        <v>104.932</v>
      </c>
      <c r="M127" s="55">
        <v>99.543</v>
      </c>
      <c r="N127" s="56"/>
    </row>
    <row r="128" ht="15.75" customHeight="1">
      <c r="A128" s="10">
        <v>35217.0</v>
      </c>
      <c r="B128" s="55">
        <v>99.8372</v>
      </c>
      <c r="C128" s="55">
        <v>13.0</v>
      </c>
      <c r="D128" s="55">
        <v>35.0</v>
      </c>
      <c r="E128" s="55">
        <v>4.0</v>
      </c>
      <c r="F128" s="55">
        <v>0.0</v>
      </c>
      <c r="G128" s="55">
        <v>24.0</v>
      </c>
      <c r="H128" s="55">
        <v>15.2</v>
      </c>
      <c r="I128" s="55">
        <v>101.187</v>
      </c>
      <c r="J128" s="55">
        <v>104.658</v>
      </c>
      <c r="K128" s="55">
        <v>103.288</v>
      </c>
      <c r="L128" s="55">
        <v>97.717</v>
      </c>
      <c r="M128" s="55">
        <v>96.895</v>
      </c>
      <c r="N128" s="56"/>
    </row>
    <row r="129" ht="15.75" customHeight="1">
      <c r="A129" s="10">
        <v>35247.0</v>
      </c>
      <c r="B129" s="55">
        <v>100.093</v>
      </c>
      <c r="C129" s="55">
        <v>14.0</v>
      </c>
      <c r="D129" s="55">
        <v>38.0</v>
      </c>
      <c r="E129" s="55">
        <v>4.0</v>
      </c>
      <c r="F129" s="55">
        <v>1.0</v>
      </c>
      <c r="G129" s="55">
        <v>22.0</v>
      </c>
      <c r="H129" s="55">
        <v>15.8</v>
      </c>
      <c r="I129" s="55">
        <v>102.009</v>
      </c>
      <c r="J129" s="55">
        <v>104.475</v>
      </c>
      <c r="K129" s="55">
        <v>98.174</v>
      </c>
      <c r="L129" s="55">
        <v>102.283</v>
      </c>
      <c r="M129" s="55">
        <v>97.443</v>
      </c>
      <c r="N129" s="56"/>
    </row>
    <row r="130" ht="15.75" customHeight="1">
      <c r="A130" s="10">
        <v>35278.0</v>
      </c>
      <c r="B130" s="55">
        <v>100.504</v>
      </c>
      <c r="C130" s="55">
        <v>13.0</v>
      </c>
      <c r="D130" s="55">
        <v>37.0</v>
      </c>
      <c r="E130" s="55">
        <v>6.0</v>
      </c>
      <c r="F130" s="55">
        <v>-4.0</v>
      </c>
      <c r="G130" s="55">
        <v>26.0</v>
      </c>
      <c r="H130" s="55">
        <v>15.6</v>
      </c>
      <c r="I130" s="55">
        <v>102.74</v>
      </c>
      <c r="J130" s="55">
        <v>103.744</v>
      </c>
      <c r="K130" s="55">
        <v>101.918</v>
      </c>
      <c r="L130" s="55">
        <v>97.626</v>
      </c>
      <c r="M130" s="55">
        <v>99.361</v>
      </c>
      <c r="N130" s="56"/>
    </row>
    <row r="131" ht="15.75" customHeight="1">
      <c r="A131" s="10">
        <v>35309.0</v>
      </c>
      <c r="B131" s="55">
        <v>101.225</v>
      </c>
      <c r="C131" s="55">
        <v>15.0</v>
      </c>
      <c r="D131" s="55">
        <v>37.0</v>
      </c>
      <c r="E131" s="55">
        <v>5.0</v>
      </c>
      <c r="F131" s="55">
        <v>0.0</v>
      </c>
      <c r="G131" s="55">
        <v>23.0</v>
      </c>
      <c r="H131" s="55">
        <v>16.0</v>
      </c>
      <c r="I131" s="55">
        <v>101.461</v>
      </c>
      <c r="J131" s="55">
        <v>105.662</v>
      </c>
      <c r="K131" s="55">
        <v>99.817</v>
      </c>
      <c r="L131" s="55">
        <v>99.361</v>
      </c>
      <c r="M131" s="55">
        <v>99.543</v>
      </c>
      <c r="N131" s="56"/>
    </row>
    <row r="132" ht="15.75" customHeight="1">
      <c r="A132" s="10">
        <v>35339.0</v>
      </c>
      <c r="B132" s="55">
        <v>98.9057</v>
      </c>
      <c r="C132" s="55">
        <v>14.0</v>
      </c>
      <c r="D132" s="55">
        <v>36.0</v>
      </c>
      <c r="E132" s="55">
        <v>2.0</v>
      </c>
      <c r="F132" s="55">
        <v>-9.0</v>
      </c>
      <c r="G132" s="55">
        <v>20.0</v>
      </c>
      <c r="H132" s="55">
        <v>12.6</v>
      </c>
      <c r="I132" s="55">
        <v>96.621</v>
      </c>
      <c r="J132" s="55">
        <v>103.927</v>
      </c>
      <c r="K132" s="55">
        <v>104.201</v>
      </c>
      <c r="L132" s="55">
        <v>101.096</v>
      </c>
      <c r="M132" s="55">
        <v>96.164</v>
      </c>
      <c r="N132" s="56"/>
    </row>
    <row r="133" ht="15.75" customHeight="1">
      <c r="A133" s="10">
        <v>35370.0</v>
      </c>
      <c r="B133" s="55">
        <v>99.755</v>
      </c>
      <c r="C133" s="55">
        <v>14.0</v>
      </c>
      <c r="D133" s="55">
        <v>36.0</v>
      </c>
      <c r="E133" s="55">
        <v>2.0</v>
      </c>
      <c r="F133" s="55">
        <v>-5.0</v>
      </c>
      <c r="G133" s="55">
        <v>20.0</v>
      </c>
      <c r="H133" s="55">
        <v>13.4</v>
      </c>
      <c r="I133" s="55">
        <v>101.096</v>
      </c>
      <c r="J133" s="55">
        <v>105.114</v>
      </c>
      <c r="K133" s="55">
        <v>100.0</v>
      </c>
      <c r="L133" s="55">
        <v>96.712</v>
      </c>
      <c r="M133" s="55">
        <v>96.804</v>
      </c>
      <c r="N133" s="56"/>
    </row>
    <row r="134" ht="15.75" customHeight="1">
      <c r="A134" s="10">
        <v>35400.0</v>
      </c>
      <c r="B134" s="55">
        <v>100.924</v>
      </c>
      <c r="C134" s="55">
        <v>16.0</v>
      </c>
      <c r="D134" s="55">
        <v>38.0</v>
      </c>
      <c r="E134" s="55">
        <v>6.0</v>
      </c>
      <c r="F134" s="55">
        <v>-1.0</v>
      </c>
      <c r="G134" s="55">
        <v>23.0</v>
      </c>
      <c r="H134" s="55">
        <v>16.4</v>
      </c>
      <c r="I134" s="55">
        <v>103.288</v>
      </c>
      <c r="J134" s="55">
        <v>105.936</v>
      </c>
      <c r="K134" s="55">
        <v>100.365</v>
      </c>
      <c r="L134" s="55">
        <v>99.543</v>
      </c>
      <c r="M134" s="55">
        <v>98.356</v>
      </c>
      <c r="N134" s="56"/>
    </row>
    <row r="135" ht="15.75" customHeight="1">
      <c r="A135" s="10">
        <v>35431.0</v>
      </c>
      <c r="B135" s="55">
        <v>101.892</v>
      </c>
      <c r="C135" s="55">
        <v>17.0</v>
      </c>
      <c r="D135" s="55">
        <v>36.0</v>
      </c>
      <c r="E135" s="55">
        <v>7.0</v>
      </c>
      <c r="F135" s="55">
        <v>-1.0</v>
      </c>
      <c r="G135" s="55">
        <v>27.0</v>
      </c>
      <c r="H135" s="55">
        <v>17.2</v>
      </c>
      <c r="I135" s="55">
        <v>106.484</v>
      </c>
      <c r="J135" s="55">
        <v>104.566</v>
      </c>
      <c r="K135" s="55">
        <v>96.347</v>
      </c>
      <c r="L135" s="55">
        <v>104.749</v>
      </c>
      <c r="M135" s="55">
        <v>99.817</v>
      </c>
      <c r="N135" s="56"/>
    </row>
    <row r="136" ht="15.75" customHeight="1">
      <c r="A136" s="10">
        <v>35462.0</v>
      </c>
      <c r="B136" s="55">
        <v>100.549</v>
      </c>
      <c r="C136" s="55">
        <v>14.0</v>
      </c>
      <c r="D136" s="55">
        <v>36.0</v>
      </c>
      <c r="E136" s="55">
        <v>2.0</v>
      </c>
      <c r="F136" s="55">
        <v>1.0</v>
      </c>
      <c r="G136" s="55">
        <v>28.0</v>
      </c>
      <c r="H136" s="55">
        <v>16.2</v>
      </c>
      <c r="I136" s="55">
        <v>106.301</v>
      </c>
      <c r="J136" s="55">
        <v>106.758</v>
      </c>
      <c r="K136" s="55">
        <v>92.785</v>
      </c>
      <c r="L136" s="55">
        <v>104.749</v>
      </c>
      <c r="M136" s="55">
        <v>95.342</v>
      </c>
      <c r="N136" s="56"/>
    </row>
    <row r="137" ht="15.75" customHeight="1">
      <c r="A137" s="10">
        <v>35490.0</v>
      </c>
      <c r="B137" s="55">
        <v>100.467</v>
      </c>
      <c r="C137" s="55">
        <v>16.0</v>
      </c>
      <c r="D137" s="55">
        <v>38.0</v>
      </c>
      <c r="E137" s="55">
        <v>6.0</v>
      </c>
      <c r="F137" s="55">
        <v>-5.0</v>
      </c>
      <c r="G137" s="55">
        <v>25.0</v>
      </c>
      <c r="H137" s="55">
        <v>16.0</v>
      </c>
      <c r="I137" s="55">
        <v>102.557</v>
      </c>
      <c r="J137" s="55">
        <v>105.297</v>
      </c>
      <c r="K137" s="55">
        <v>99.178</v>
      </c>
      <c r="L137" s="55">
        <v>99.178</v>
      </c>
      <c r="M137" s="55">
        <v>100.0</v>
      </c>
      <c r="N137" s="56"/>
    </row>
    <row r="138" ht="15.75" customHeight="1">
      <c r="A138" s="10">
        <v>35521.0</v>
      </c>
      <c r="B138" s="55">
        <v>100.677</v>
      </c>
      <c r="C138" s="55">
        <v>17.0</v>
      </c>
      <c r="D138" s="55">
        <v>37.0</v>
      </c>
      <c r="E138" s="55">
        <v>5.0</v>
      </c>
      <c r="F138" s="55">
        <v>2.0</v>
      </c>
      <c r="G138" s="55">
        <v>23.0</v>
      </c>
      <c r="H138" s="55">
        <v>16.8</v>
      </c>
      <c r="I138" s="55">
        <v>105.297</v>
      </c>
      <c r="J138" s="55">
        <v>103.014</v>
      </c>
      <c r="K138" s="55">
        <v>92.877</v>
      </c>
      <c r="L138" s="55">
        <v>98.721</v>
      </c>
      <c r="M138" s="55">
        <v>98.082</v>
      </c>
      <c r="N138" s="56"/>
    </row>
    <row r="139" ht="15.75" customHeight="1">
      <c r="A139" s="10">
        <v>35551.0</v>
      </c>
      <c r="B139" s="55">
        <v>102.659</v>
      </c>
      <c r="C139" s="55">
        <v>15.0</v>
      </c>
      <c r="D139" s="55">
        <v>40.0</v>
      </c>
      <c r="E139" s="55">
        <v>4.0</v>
      </c>
      <c r="F139" s="55">
        <v>3.0</v>
      </c>
      <c r="G139" s="55">
        <v>30.0</v>
      </c>
      <c r="H139" s="55">
        <v>18.4</v>
      </c>
      <c r="I139" s="55">
        <v>103.653</v>
      </c>
      <c r="J139" s="55">
        <v>104.566</v>
      </c>
      <c r="K139" s="55">
        <v>104.84</v>
      </c>
      <c r="L139" s="55">
        <v>94.247</v>
      </c>
      <c r="M139" s="55">
        <v>101.644</v>
      </c>
      <c r="N139" s="56"/>
    </row>
    <row r="140" ht="15.75" customHeight="1">
      <c r="A140" s="10">
        <v>35582.0</v>
      </c>
      <c r="B140" s="55">
        <v>103.764</v>
      </c>
      <c r="C140" s="55">
        <v>18.0</v>
      </c>
      <c r="D140" s="55">
        <v>39.0</v>
      </c>
      <c r="E140" s="55">
        <v>6.0</v>
      </c>
      <c r="F140" s="55">
        <v>5.0</v>
      </c>
      <c r="G140" s="55">
        <v>28.0</v>
      </c>
      <c r="H140" s="55">
        <v>19.2</v>
      </c>
      <c r="I140" s="55">
        <v>106.575</v>
      </c>
      <c r="J140" s="55">
        <v>109.954</v>
      </c>
      <c r="K140" s="55">
        <v>101.553</v>
      </c>
      <c r="L140" s="55">
        <v>101.279</v>
      </c>
      <c r="M140" s="55">
        <v>102.466</v>
      </c>
      <c r="N140" s="56"/>
    </row>
    <row r="141" ht="15.75" customHeight="1">
      <c r="A141" s="10">
        <v>35612.0</v>
      </c>
      <c r="B141" s="55">
        <v>103.837</v>
      </c>
      <c r="C141" s="55">
        <v>18.0</v>
      </c>
      <c r="D141" s="55">
        <v>37.0</v>
      </c>
      <c r="E141" s="55">
        <v>6.0</v>
      </c>
      <c r="F141" s="55">
        <v>7.0</v>
      </c>
      <c r="G141" s="55">
        <v>29.0</v>
      </c>
      <c r="H141" s="55">
        <v>19.4</v>
      </c>
      <c r="I141" s="55">
        <v>106.758</v>
      </c>
      <c r="J141" s="55">
        <v>108.767</v>
      </c>
      <c r="K141" s="55">
        <v>109.041</v>
      </c>
      <c r="L141" s="55">
        <v>104.201</v>
      </c>
      <c r="M141" s="55">
        <v>100.731</v>
      </c>
      <c r="N141" s="56"/>
    </row>
    <row r="142" ht="15.75" customHeight="1">
      <c r="A142" s="10">
        <v>35643.0</v>
      </c>
      <c r="B142" s="55">
        <v>102.695</v>
      </c>
      <c r="C142" s="55">
        <v>18.0</v>
      </c>
      <c r="D142" s="55">
        <v>36.0</v>
      </c>
      <c r="E142" s="55">
        <v>7.0</v>
      </c>
      <c r="F142" s="55">
        <v>7.0</v>
      </c>
      <c r="G142" s="55">
        <v>30.0</v>
      </c>
      <c r="H142" s="55">
        <v>19.6</v>
      </c>
      <c r="I142" s="55">
        <v>103.927</v>
      </c>
      <c r="J142" s="55">
        <v>109.406</v>
      </c>
      <c r="K142" s="55">
        <v>109.954</v>
      </c>
      <c r="L142" s="55">
        <v>106.484</v>
      </c>
      <c r="M142" s="55">
        <v>99.269</v>
      </c>
      <c r="N142" s="56"/>
    </row>
    <row r="143" ht="15.75" customHeight="1">
      <c r="A143" s="10">
        <v>35674.0</v>
      </c>
      <c r="B143" s="55">
        <v>103.873</v>
      </c>
      <c r="C143" s="55">
        <v>18.0</v>
      </c>
      <c r="D143" s="55">
        <v>38.0</v>
      </c>
      <c r="E143" s="55">
        <v>4.0</v>
      </c>
      <c r="F143" s="55">
        <v>9.0</v>
      </c>
      <c r="G143" s="55">
        <v>27.0</v>
      </c>
      <c r="H143" s="55">
        <v>19.2</v>
      </c>
      <c r="I143" s="55">
        <v>106.758</v>
      </c>
      <c r="J143" s="55">
        <v>109.498</v>
      </c>
      <c r="K143" s="55">
        <v>101.644</v>
      </c>
      <c r="L143" s="55">
        <v>105.023</v>
      </c>
      <c r="M143" s="55">
        <v>100.183</v>
      </c>
      <c r="N143" s="56"/>
    </row>
    <row r="144" ht="15.75" customHeight="1">
      <c r="A144" s="10">
        <v>35704.0</v>
      </c>
      <c r="B144" s="55">
        <v>103.289</v>
      </c>
      <c r="C144" s="55">
        <v>19.0</v>
      </c>
      <c r="D144" s="55">
        <v>39.0</v>
      </c>
      <c r="E144" s="55">
        <v>3.0</v>
      </c>
      <c r="F144" s="55">
        <v>7.0</v>
      </c>
      <c r="G144" s="55">
        <v>27.0</v>
      </c>
      <c r="H144" s="55">
        <v>19.0</v>
      </c>
      <c r="I144" s="55">
        <v>105.845</v>
      </c>
      <c r="J144" s="55">
        <v>106.027</v>
      </c>
      <c r="K144" s="55">
        <v>104.932</v>
      </c>
      <c r="L144" s="55">
        <v>103.562</v>
      </c>
      <c r="M144" s="55">
        <v>100.639</v>
      </c>
      <c r="N144" s="56"/>
    </row>
    <row r="145" ht="15.75" customHeight="1">
      <c r="A145" s="10">
        <v>35735.0</v>
      </c>
      <c r="B145" s="55">
        <v>102.312</v>
      </c>
      <c r="C145" s="55">
        <v>19.0</v>
      </c>
      <c r="D145" s="55">
        <v>38.0</v>
      </c>
      <c r="E145" s="55">
        <v>4.0</v>
      </c>
      <c r="F145" s="55">
        <v>3.0</v>
      </c>
      <c r="G145" s="55">
        <v>22.0</v>
      </c>
      <c r="H145" s="55">
        <v>17.2</v>
      </c>
      <c r="I145" s="55">
        <v>102.922</v>
      </c>
      <c r="J145" s="55">
        <v>108.858</v>
      </c>
      <c r="K145" s="55">
        <v>104.475</v>
      </c>
      <c r="L145" s="55">
        <v>100.365</v>
      </c>
      <c r="M145" s="55">
        <v>97.352</v>
      </c>
      <c r="N145" s="56"/>
    </row>
    <row r="146" ht="15.75" customHeight="1">
      <c r="A146" s="10">
        <v>35765.0</v>
      </c>
      <c r="B146" s="55">
        <v>102.111</v>
      </c>
      <c r="C146" s="55">
        <v>18.0</v>
      </c>
      <c r="D146" s="55">
        <v>37.0</v>
      </c>
      <c r="E146" s="55">
        <v>4.0</v>
      </c>
      <c r="F146" s="55">
        <v>-2.0</v>
      </c>
      <c r="G146" s="55">
        <v>20.0</v>
      </c>
      <c r="H146" s="55">
        <v>15.4</v>
      </c>
      <c r="I146" s="55">
        <v>103.014</v>
      </c>
      <c r="J146" s="55">
        <v>108.402</v>
      </c>
      <c r="K146" s="55">
        <v>102.283</v>
      </c>
      <c r="L146" s="55">
        <v>103.196</v>
      </c>
      <c r="M146" s="55">
        <v>97.9</v>
      </c>
      <c r="N146" s="56"/>
    </row>
    <row r="147" ht="15.75" customHeight="1">
      <c r="A147" s="10">
        <v>35796.0</v>
      </c>
      <c r="B147" s="55">
        <v>101.892</v>
      </c>
      <c r="C147" s="55">
        <v>17.0</v>
      </c>
      <c r="D147" s="55">
        <v>34.0</v>
      </c>
      <c r="E147" s="55">
        <v>4.0</v>
      </c>
      <c r="F147" s="55">
        <v>-1.0</v>
      </c>
      <c r="G147" s="55">
        <v>28.0</v>
      </c>
      <c r="H147" s="55">
        <v>16.4</v>
      </c>
      <c r="I147" s="55">
        <v>106.941</v>
      </c>
      <c r="J147" s="55">
        <v>105.662</v>
      </c>
      <c r="K147" s="55">
        <v>100.913</v>
      </c>
      <c r="L147" s="55">
        <v>95.616</v>
      </c>
      <c r="M147" s="55">
        <v>100.091</v>
      </c>
      <c r="N147" s="56"/>
    </row>
    <row r="148" ht="15.75" customHeight="1">
      <c r="A148" s="10">
        <v>35827.0</v>
      </c>
      <c r="B148" s="55">
        <v>101.737</v>
      </c>
      <c r="C148" s="55">
        <v>18.0</v>
      </c>
      <c r="D148" s="55">
        <v>39.0</v>
      </c>
      <c r="E148" s="55">
        <v>4.0</v>
      </c>
      <c r="F148" s="55">
        <v>-3.0</v>
      </c>
      <c r="G148" s="55">
        <v>19.0</v>
      </c>
      <c r="H148" s="55">
        <v>15.4</v>
      </c>
      <c r="I148" s="55">
        <v>103.196</v>
      </c>
      <c r="J148" s="55">
        <v>106.301</v>
      </c>
      <c r="K148" s="55">
        <v>112.603</v>
      </c>
      <c r="L148" s="55">
        <v>96.712</v>
      </c>
      <c r="M148" s="55">
        <v>102.283</v>
      </c>
      <c r="N148" s="56"/>
    </row>
    <row r="149" ht="15.75" customHeight="1">
      <c r="A149" s="10">
        <v>35855.0</v>
      </c>
      <c r="B149" s="55">
        <v>102.841</v>
      </c>
      <c r="C149" s="55">
        <v>18.0</v>
      </c>
      <c r="D149" s="55">
        <v>37.0</v>
      </c>
      <c r="E149" s="55">
        <v>7.0</v>
      </c>
      <c r="F149" s="55">
        <v>1.0</v>
      </c>
      <c r="G149" s="55">
        <v>28.0</v>
      </c>
      <c r="H149" s="55">
        <v>18.2</v>
      </c>
      <c r="I149" s="55">
        <v>106.758</v>
      </c>
      <c r="J149" s="55">
        <v>107.123</v>
      </c>
      <c r="K149" s="55">
        <v>94.247</v>
      </c>
      <c r="L149" s="55">
        <v>102.648</v>
      </c>
      <c r="M149" s="55">
        <v>101.37</v>
      </c>
      <c r="N149" s="56"/>
    </row>
    <row r="150" ht="15.75" customHeight="1">
      <c r="A150" s="10">
        <v>35886.0</v>
      </c>
      <c r="B150" s="55">
        <v>101.59</v>
      </c>
      <c r="C150" s="55">
        <v>15.0</v>
      </c>
      <c r="D150" s="55">
        <v>31.0</v>
      </c>
      <c r="E150" s="55">
        <v>8.0</v>
      </c>
      <c r="F150" s="55">
        <v>2.0</v>
      </c>
      <c r="G150" s="55">
        <v>23.0</v>
      </c>
      <c r="H150" s="55">
        <v>15.8</v>
      </c>
      <c r="I150" s="55">
        <v>100.091</v>
      </c>
      <c r="J150" s="55">
        <v>101.37</v>
      </c>
      <c r="K150" s="55">
        <v>101.826</v>
      </c>
      <c r="L150" s="55">
        <v>105.388</v>
      </c>
      <c r="M150" s="55">
        <v>96.53</v>
      </c>
      <c r="N150" s="56"/>
    </row>
    <row r="151" ht="15.75" customHeight="1">
      <c r="A151" s="10">
        <v>35916.0</v>
      </c>
      <c r="B151" s="55">
        <v>100.741</v>
      </c>
      <c r="C151" s="55">
        <v>17.0</v>
      </c>
      <c r="D151" s="55">
        <v>33.0</v>
      </c>
      <c r="E151" s="55">
        <v>6.0</v>
      </c>
      <c r="F151" s="55">
        <v>-6.0</v>
      </c>
      <c r="G151" s="55">
        <v>17.0</v>
      </c>
      <c r="H151" s="55">
        <v>13.4</v>
      </c>
      <c r="I151" s="55">
        <v>107.397</v>
      </c>
      <c r="J151" s="55">
        <v>103.196</v>
      </c>
      <c r="K151" s="55">
        <v>101.826</v>
      </c>
      <c r="L151" s="55">
        <v>97.26</v>
      </c>
      <c r="M151" s="55">
        <v>98.813</v>
      </c>
      <c r="N151" s="56"/>
    </row>
    <row r="152" ht="15.75" customHeight="1">
      <c r="A152" s="10">
        <v>35947.0</v>
      </c>
      <c r="B152" s="55">
        <v>101.481</v>
      </c>
      <c r="C152" s="55">
        <v>15.0</v>
      </c>
      <c r="D152" s="55">
        <v>36.0</v>
      </c>
      <c r="E152" s="55">
        <v>4.0</v>
      </c>
      <c r="F152" s="55">
        <v>-2.0</v>
      </c>
      <c r="G152" s="55">
        <v>21.0</v>
      </c>
      <c r="H152" s="55">
        <v>14.8</v>
      </c>
      <c r="I152" s="55">
        <v>104.566</v>
      </c>
      <c r="J152" s="55">
        <v>104.201</v>
      </c>
      <c r="K152" s="55">
        <v>104.201</v>
      </c>
      <c r="L152" s="55">
        <v>103.014</v>
      </c>
      <c r="M152" s="55">
        <v>99.635</v>
      </c>
      <c r="N152" s="56"/>
    </row>
    <row r="153" ht="15.75" customHeight="1">
      <c r="A153" s="10">
        <v>35977.0</v>
      </c>
      <c r="B153" s="55">
        <v>101.919</v>
      </c>
      <c r="C153" s="55">
        <v>15.0</v>
      </c>
      <c r="D153" s="55">
        <v>39.0</v>
      </c>
      <c r="E153" s="55">
        <v>6.0</v>
      </c>
      <c r="F153" s="55">
        <v>-11.0</v>
      </c>
      <c r="G153" s="55">
        <v>23.0</v>
      </c>
      <c r="H153" s="55">
        <v>14.4</v>
      </c>
      <c r="I153" s="55">
        <v>106.301</v>
      </c>
      <c r="J153" s="55">
        <v>106.849</v>
      </c>
      <c r="K153" s="55">
        <v>99.726</v>
      </c>
      <c r="L153" s="55">
        <v>100.274</v>
      </c>
      <c r="M153" s="55">
        <v>101.644</v>
      </c>
      <c r="N153" s="56"/>
    </row>
    <row r="154" ht="15.75" customHeight="1">
      <c r="A154" s="10">
        <v>36008.0</v>
      </c>
      <c r="B154" s="55">
        <v>99.4993</v>
      </c>
      <c r="C154" s="55">
        <v>17.0</v>
      </c>
      <c r="D154" s="55">
        <v>34.0</v>
      </c>
      <c r="E154" s="55">
        <v>1.0</v>
      </c>
      <c r="F154" s="55">
        <v>-13.0</v>
      </c>
      <c r="G154" s="55">
        <v>22.0</v>
      </c>
      <c r="H154" s="55">
        <v>12.2</v>
      </c>
      <c r="I154" s="55">
        <v>103.196</v>
      </c>
      <c r="J154" s="55">
        <v>104.658</v>
      </c>
      <c r="K154" s="55">
        <v>109.315</v>
      </c>
      <c r="L154" s="55">
        <v>97.534</v>
      </c>
      <c r="M154" s="55">
        <v>99.452</v>
      </c>
      <c r="N154" s="56"/>
    </row>
    <row r="155" ht="15.75" customHeight="1">
      <c r="A155" s="10">
        <v>36039.0</v>
      </c>
      <c r="B155" s="55">
        <v>99.9467</v>
      </c>
      <c r="C155" s="55">
        <v>18.0</v>
      </c>
      <c r="D155" s="55">
        <v>37.0</v>
      </c>
      <c r="E155" s="55">
        <v>5.0</v>
      </c>
      <c r="F155" s="55">
        <v>-17.0</v>
      </c>
      <c r="G155" s="55">
        <v>17.0</v>
      </c>
      <c r="H155" s="55">
        <v>12.0</v>
      </c>
      <c r="I155" s="55">
        <v>101.279</v>
      </c>
      <c r="J155" s="55">
        <v>101.37</v>
      </c>
      <c r="K155" s="55">
        <v>96.804</v>
      </c>
      <c r="L155" s="55">
        <v>98.995</v>
      </c>
      <c r="M155" s="55">
        <v>99.817</v>
      </c>
      <c r="N155" s="56"/>
    </row>
    <row r="156" ht="15.75" customHeight="1">
      <c r="A156" s="10">
        <v>36069.0</v>
      </c>
      <c r="B156" s="55">
        <v>100.732</v>
      </c>
      <c r="C156" s="55">
        <v>16.0</v>
      </c>
      <c r="D156" s="55">
        <v>37.0</v>
      </c>
      <c r="E156" s="55">
        <v>4.0</v>
      </c>
      <c r="F156" s="55">
        <v>-10.0</v>
      </c>
      <c r="G156" s="55">
        <v>21.0</v>
      </c>
      <c r="H156" s="55">
        <v>13.6</v>
      </c>
      <c r="I156" s="55">
        <v>102.009</v>
      </c>
      <c r="J156" s="55">
        <v>98.447</v>
      </c>
      <c r="K156" s="55">
        <v>98.082</v>
      </c>
      <c r="L156" s="55">
        <v>97.078</v>
      </c>
      <c r="M156" s="55">
        <v>100.548</v>
      </c>
      <c r="N156" s="56"/>
    </row>
    <row r="157" ht="15.75" customHeight="1">
      <c r="A157" s="10">
        <v>36100.0</v>
      </c>
      <c r="B157" s="55">
        <v>101.49</v>
      </c>
      <c r="C157" s="55">
        <v>19.0</v>
      </c>
      <c r="D157" s="55">
        <v>40.0</v>
      </c>
      <c r="E157" s="55">
        <v>6.0</v>
      </c>
      <c r="F157" s="55">
        <v>-9.0</v>
      </c>
      <c r="G157" s="55">
        <v>18.0</v>
      </c>
      <c r="H157" s="55">
        <v>14.8</v>
      </c>
      <c r="I157" s="55">
        <v>105.023</v>
      </c>
      <c r="J157" s="55">
        <v>101.005</v>
      </c>
      <c r="K157" s="55">
        <v>100.639</v>
      </c>
      <c r="L157" s="55">
        <v>101.826</v>
      </c>
      <c r="M157" s="55">
        <v>99.909</v>
      </c>
      <c r="N157" s="56"/>
    </row>
    <row r="158" ht="15.75" customHeight="1">
      <c r="A158" s="10">
        <v>36130.0</v>
      </c>
      <c r="B158" s="55">
        <v>100.467</v>
      </c>
      <c r="C158" s="55">
        <v>16.0</v>
      </c>
      <c r="D158" s="55">
        <v>36.0</v>
      </c>
      <c r="E158" s="55">
        <v>7.0</v>
      </c>
      <c r="F158" s="55">
        <v>-9.0</v>
      </c>
      <c r="G158" s="55">
        <v>20.0</v>
      </c>
      <c r="H158" s="55">
        <v>14.0</v>
      </c>
      <c r="I158" s="55">
        <v>101.735</v>
      </c>
      <c r="J158" s="55">
        <v>105.388</v>
      </c>
      <c r="K158" s="55">
        <v>97.534</v>
      </c>
      <c r="L158" s="55">
        <v>96.256</v>
      </c>
      <c r="M158" s="55">
        <v>98.904</v>
      </c>
      <c r="N158" s="56"/>
    </row>
    <row r="159" ht="15.75" customHeight="1">
      <c r="A159" s="10">
        <v>36161.0</v>
      </c>
      <c r="B159" s="55">
        <v>100.705</v>
      </c>
      <c r="C159" s="55">
        <v>16.0</v>
      </c>
      <c r="D159" s="55">
        <v>36.0</v>
      </c>
      <c r="E159" s="55">
        <v>5.0</v>
      </c>
      <c r="F159" s="55">
        <v>-9.0</v>
      </c>
      <c r="G159" s="55">
        <v>18.0</v>
      </c>
      <c r="H159" s="55">
        <v>13.2</v>
      </c>
      <c r="I159" s="55">
        <v>105.023</v>
      </c>
      <c r="J159" s="55">
        <v>101.461</v>
      </c>
      <c r="K159" s="55">
        <v>107.397</v>
      </c>
      <c r="L159" s="55">
        <v>95.708</v>
      </c>
      <c r="M159" s="55">
        <v>98.082</v>
      </c>
      <c r="N159" s="56"/>
    </row>
    <row r="160" ht="15.75" customHeight="1">
      <c r="A160" s="10">
        <v>36192.0</v>
      </c>
      <c r="B160" s="55">
        <v>100.915</v>
      </c>
      <c r="C160" s="55">
        <v>17.0</v>
      </c>
      <c r="D160" s="55">
        <v>37.0</v>
      </c>
      <c r="E160" s="55">
        <v>6.0</v>
      </c>
      <c r="F160" s="55">
        <v>-10.0</v>
      </c>
      <c r="G160" s="55">
        <v>25.0</v>
      </c>
      <c r="H160" s="55">
        <v>15.0</v>
      </c>
      <c r="I160" s="55">
        <v>104.932</v>
      </c>
      <c r="J160" s="55">
        <v>104.201</v>
      </c>
      <c r="K160" s="55">
        <v>102.1</v>
      </c>
      <c r="L160" s="55">
        <v>96.347</v>
      </c>
      <c r="M160" s="55">
        <v>99.361</v>
      </c>
      <c r="N160" s="56"/>
    </row>
    <row r="161" ht="15.75" customHeight="1">
      <c r="A161" s="10">
        <v>36220.0</v>
      </c>
      <c r="B161" s="55">
        <v>101.015</v>
      </c>
      <c r="C161" s="55">
        <v>20.0</v>
      </c>
      <c r="D161" s="55">
        <v>37.0</v>
      </c>
      <c r="E161" s="55">
        <v>3.0</v>
      </c>
      <c r="F161" s="55">
        <v>-11.0</v>
      </c>
      <c r="G161" s="55">
        <v>19.0</v>
      </c>
      <c r="H161" s="55">
        <v>13.6</v>
      </c>
      <c r="I161" s="55">
        <v>106.667</v>
      </c>
      <c r="J161" s="55">
        <v>102.283</v>
      </c>
      <c r="K161" s="55">
        <v>110.32</v>
      </c>
      <c r="L161" s="55">
        <v>98.721</v>
      </c>
      <c r="M161" s="55">
        <v>98.63</v>
      </c>
      <c r="N161" s="56"/>
    </row>
    <row r="162" ht="15.75" customHeight="1">
      <c r="A162" s="10">
        <v>36251.0</v>
      </c>
      <c r="B162" s="55">
        <v>99.5815</v>
      </c>
      <c r="C162" s="55">
        <v>12.0</v>
      </c>
      <c r="D162" s="55">
        <v>34.0</v>
      </c>
      <c r="E162" s="55">
        <v>8.0</v>
      </c>
      <c r="F162" s="55">
        <v>-10.0</v>
      </c>
      <c r="G162" s="55">
        <v>15.0</v>
      </c>
      <c r="H162" s="55">
        <v>11.8</v>
      </c>
      <c r="I162" s="55">
        <v>106.119</v>
      </c>
      <c r="J162" s="55">
        <v>96.895</v>
      </c>
      <c r="K162" s="55">
        <v>102.922</v>
      </c>
      <c r="L162" s="55">
        <v>103.288</v>
      </c>
      <c r="M162" s="55">
        <v>98.995</v>
      </c>
      <c r="N162" s="56"/>
    </row>
    <row r="163" ht="15.75" customHeight="1">
      <c r="A163" s="10">
        <v>36281.0</v>
      </c>
      <c r="B163" s="55">
        <v>100.741</v>
      </c>
      <c r="C163" s="55">
        <v>16.0</v>
      </c>
      <c r="D163" s="55">
        <v>36.0</v>
      </c>
      <c r="E163" s="55">
        <v>6.0</v>
      </c>
      <c r="F163" s="55">
        <v>-10.0</v>
      </c>
      <c r="G163" s="55">
        <v>23.0</v>
      </c>
      <c r="H163" s="55">
        <v>14.2</v>
      </c>
      <c r="I163" s="55">
        <v>104.11</v>
      </c>
      <c r="J163" s="55">
        <v>105.479</v>
      </c>
      <c r="K163" s="55">
        <v>103.105</v>
      </c>
      <c r="L163" s="55">
        <v>100.365</v>
      </c>
      <c r="M163" s="55">
        <v>98.265</v>
      </c>
      <c r="N163" s="56"/>
    </row>
    <row r="164" ht="15.75" customHeight="1">
      <c r="A164" s="10">
        <v>36312.0</v>
      </c>
      <c r="B164" s="55">
        <v>100.933</v>
      </c>
      <c r="C164" s="55">
        <v>15.0</v>
      </c>
      <c r="D164" s="55">
        <v>33.0</v>
      </c>
      <c r="E164" s="55">
        <v>5.0</v>
      </c>
      <c r="F164" s="55">
        <v>-4.0</v>
      </c>
      <c r="G164" s="55">
        <v>23.0</v>
      </c>
      <c r="H164" s="55">
        <v>14.4</v>
      </c>
      <c r="I164" s="55">
        <v>101.553</v>
      </c>
      <c r="J164" s="55">
        <v>103.47</v>
      </c>
      <c r="K164" s="55">
        <v>102.74</v>
      </c>
      <c r="L164" s="55">
        <v>100.0</v>
      </c>
      <c r="M164" s="55">
        <v>100.365</v>
      </c>
      <c r="N164" s="56"/>
    </row>
    <row r="165" ht="15.75" customHeight="1">
      <c r="A165" s="10">
        <v>36342.0</v>
      </c>
      <c r="B165" s="55">
        <v>100.549</v>
      </c>
      <c r="C165" s="55">
        <v>16.0</v>
      </c>
      <c r="D165" s="55">
        <v>32.0</v>
      </c>
      <c r="E165" s="55">
        <v>5.0</v>
      </c>
      <c r="F165" s="55">
        <v>-4.0</v>
      </c>
      <c r="G165" s="55">
        <v>18.0</v>
      </c>
      <c r="H165" s="55">
        <v>13.4</v>
      </c>
      <c r="I165" s="55">
        <v>103.014</v>
      </c>
      <c r="J165" s="55">
        <v>101.553</v>
      </c>
      <c r="K165" s="55">
        <v>98.447</v>
      </c>
      <c r="L165" s="55">
        <v>98.082</v>
      </c>
      <c r="M165" s="55">
        <v>99.087</v>
      </c>
      <c r="N165" s="56"/>
    </row>
    <row r="166" ht="15.75" customHeight="1">
      <c r="A166" s="10">
        <v>36373.0</v>
      </c>
      <c r="B166" s="55">
        <v>102.33</v>
      </c>
      <c r="C166" s="55">
        <v>21.0</v>
      </c>
      <c r="D166" s="55">
        <v>35.0</v>
      </c>
      <c r="E166" s="55">
        <v>6.0</v>
      </c>
      <c r="F166" s="55">
        <v>-5.0</v>
      </c>
      <c r="G166" s="55">
        <v>25.0</v>
      </c>
      <c r="H166" s="55">
        <v>16.4</v>
      </c>
      <c r="I166" s="55">
        <v>105.936</v>
      </c>
      <c r="J166" s="55">
        <v>104.018</v>
      </c>
      <c r="K166" s="55">
        <v>103.562</v>
      </c>
      <c r="L166" s="55">
        <v>102.283</v>
      </c>
      <c r="M166" s="55">
        <v>103.836</v>
      </c>
      <c r="N166" s="56"/>
    </row>
    <row r="167" ht="15.75" customHeight="1">
      <c r="A167" s="10">
        <v>36404.0</v>
      </c>
      <c r="B167" s="55">
        <v>101.316</v>
      </c>
      <c r="C167" s="55">
        <v>18.0</v>
      </c>
      <c r="D167" s="55">
        <v>35.0</v>
      </c>
      <c r="E167" s="55">
        <v>3.0</v>
      </c>
      <c r="F167" s="55">
        <v>-2.0</v>
      </c>
      <c r="G167" s="55">
        <v>20.0</v>
      </c>
      <c r="H167" s="55">
        <v>14.8</v>
      </c>
      <c r="I167" s="55">
        <v>103.288</v>
      </c>
      <c r="J167" s="55">
        <v>106.575</v>
      </c>
      <c r="K167" s="55">
        <v>97.9</v>
      </c>
      <c r="L167" s="55">
        <v>101.279</v>
      </c>
      <c r="M167" s="55">
        <v>100.0</v>
      </c>
      <c r="N167" s="56"/>
    </row>
    <row r="168" ht="15.75" customHeight="1">
      <c r="A168" s="10">
        <v>36434.0</v>
      </c>
      <c r="B168" s="55">
        <v>102.924</v>
      </c>
      <c r="C168" s="55">
        <v>19.0</v>
      </c>
      <c r="D168" s="55">
        <v>37.0</v>
      </c>
      <c r="E168" s="55">
        <v>8.0</v>
      </c>
      <c r="F168" s="55">
        <v>1.0</v>
      </c>
      <c r="G168" s="55">
        <v>21.0</v>
      </c>
      <c r="H168" s="55">
        <v>17.2</v>
      </c>
      <c r="I168" s="55">
        <v>104.658</v>
      </c>
      <c r="J168" s="55">
        <v>108.493</v>
      </c>
      <c r="K168" s="55">
        <v>105.114</v>
      </c>
      <c r="L168" s="55">
        <v>102.648</v>
      </c>
      <c r="M168" s="55">
        <v>99.452</v>
      </c>
      <c r="N168" s="56"/>
    </row>
    <row r="169" ht="15.75" customHeight="1">
      <c r="A169" s="10">
        <v>36465.0</v>
      </c>
      <c r="B169" s="55">
        <v>102.951</v>
      </c>
      <c r="C169" s="55">
        <v>21.0</v>
      </c>
      <c r="D169" s="55">
        <v>39.0</v>
      </c>
      <c r="E169" s="55">
        <v>4.0</v>
      </c>
      <c r="F169" s="55">
        <v>-3.0</v>
      </c>
      <c r="G169" s="55">
        <v>21.0</v>
      </c>
      <c r="H169" s="55">
        <v>16.4</v>
      </c>
      <c r="I169" s="55">
        <v>100.913</v>
      </c>
      <c r="J169" s="55">
        <v>107.123</v>
      </c>
      <c r="K169" s="55">
        <v>102.009</v>
      </c>
      <c r="L169" s="55">
        <v>103.014</v>
      </c>
      <c r="M169" s="55">
        <v>102.1</v>
      </c>
      <c r="N169" s="56"/>
    </row>
    <row r="170" ht="15.75" customHeight="1">
      <c r="A170" s="10">
        <v>36495.0</v>
      </c>
      <c r="B170" s="55">
        <v>103.389</v>
      </c>
      <c r="C170" s="55">
        <v>18.0</v>
      </c>
      <c r="D170" s="55">
        <v>37.0</v>
      </c>
      <c r="E170" s="55">
        <v>6.0</v>
      </c>
      <c r="F170" s="55">
        <v>0.0</v>
      </c>
      <c r="G170" s="55">
        <v>30.0</v>
      </c>
      <c r="H170" s="55">
        <v>18.2</v>
      </c>
      <c r="I170" s="55">
        <v>103.836</v>
      </c>
      <c r="J170" s="55">
        <v>105.845</v>
      </c>
      <c r="K170" s="55">
        <v>101.918</v>
      </c>
      <c r="L170" s="55">
        <v>103.47</v>
      </c>
      <c r="M170" s="55">
        <v>103.014</v>
      </c>
      <c r="N170" s="56"/>
    </row>
    <row r="171" ht="15.75" customHeight="1">
      <c r="A171" s="10">
        <v>36526.0</v>
      </c>
      <c r="B171" s="55">
        <v>100.979</v>
      </c>
      <c r="C171" s="55">
        <v>17.0</v>
      </c>
      <c r="D171" s="55">
        <v>39.0</v>
      </c>
      <c r="E171" s="55">
        <v>9.0</v>
      </c>
      <c r="F171" s="55">
        <v>-9.0</v>
      </c>
      <c r="G171" s="55">
        <v>18.0</v>
      </c>
      <c r="H171" s="55">
        <v>14.8</v>
      </c>
      <c r="I171" s="55">
        <v>100.091</v>
      </c>
      <c r="J171" s="55">
        <v>104.475</v>
      </c>
      <c r="K171" s="55">
        <v>95.89</v>
      </c>
      <c r="L171" s="55">
        <v>103.836</v>
      </c>
      <c r="M171" s="55">
        <v>100.365</v>
      </c>
      <c r="N171" s="56"/>
    </row>
    <row r="172" ht="15.75" customHeight="1">
      <c r="A172" s="10">
        <v>36557.0</v>
      </c>
      <c r="B172" s="55">
        <v>101.737</v>
      </c>
      <c r="C172" s="55">
        <v>17.0</v>
      </c>
      <c r="D172" s="55">
        <v>35.0</v>
      </c>
      <c r="E172" s="55">
        <v>8.0</v>
      </c>
      <c r="F172" s="55">
        <v>-11.0</v>
      </c>
      <c r="G172" s="55">
        <v>26.0</v>
      </c>
      <c r="H172" s="55">
        <v>15.0</v>
      </c>
      <c r="I172" s="55">
        <v>106.758</v>
      </c>
      <c r="J172" s="55">
        <v>101.918</v>
      </c>
      <c r="K172" s="55">
        <v>108.493</v>
      </c>
      <c r="L172" s="55">
        <v>103.653</v>
      </c>
      <c r="M172" s="55">
        <v>100.365</v>
      </c>
      <c r="N172" s="56"/>
    </row>
    <row r="173" ht="15.75" customHeight="1">
      <c r="A173" s="10">
        <v>36586.0</v>
      </c>
      <c r="B173" s="55">
        <v>100.376</v>
      </c>
      <c r="C173" s="55">
        <v>19.0</v>
      </c>
      <c r="D173" s="55">
        <v>32.0</v>
      </c>
      <c r="E173" s="55">
        <v>4.0</v>
      </c>
      <c r="F173" s="55">
        <v>-10.0</v>
      </c>
      <c r="G173" s="55">
        <v>21.0</v>
      </c>
      <c r="H173" s="55">
        <v>13.2</v>
      </c>
      <c r="I173" s="55">
        <v>104.84</v>
      </c>
      <c r="J173" s="55">
        <v>102.74</v>
      </c>
      <c r="K173" s="55">
        <v>95.89</v>
      </c>
      <c r="L173" s="55">
        <v>98.813</v>
      </c>
      <c r="M173" s="55">
        <v>99.817</v>
      </c>
      <c r="N173" s="56"/>
    </row>
    <row r="174" ht="15.75" customHeight="1">
      <c r="A174" s="10">
        <v>36617.0</v>
      </c>
      <c r="B174" s="55">
        <v>100.038</v>
      </c>
      <c r="C174" s="55">
        <v>14.0</v>
      </c>
      <c r="D174" s="55">
        <v>33.0</v>
      </c>
      <c r="E174" s="55">
        <v>5.0</v>
      </c>
      <c r="F174" s="55">
        <v>-9.0</v>
      </c>
      <c r="G174" s="55">
        <v>11.0</v>
      </c>
      <c r="H174" s="55">
        <v>10.8</v>
      </c>
      <c r="I174" s="55">
        <v>102.1</v>
      </c>
      <c r="J174" s="55">
        <v>106.119</v>
      </c>
      <c r="K174" s="55">
        <v>101.37</v>
      </c>
      <c r="L174" s="55">
        <v>101.096</v>
      </c>
      <c r="M174" s="55">
        <v>98.082</v>
      </c>
      <c r="N174" s="56"/>
    </row>
    <row r="175" ht="15.75" customHeight="1">
      <c r="A175" s="10">
        <v>36647.0</v>
      </c>
      <c r="B175" s="55">
        <v>98.3669</v>
      </c>
      <c r="C175" s="55">
        <v>12.0</v>
      </c>
      <c r="D175" s="55">
        <v>31.0</v>
      </c>
      <c r="E175" s="55">
        <v>6.0</v>
      </c>
      <c r="F175" s="55">
        <v>-15.0</v>
      </c>
      <c r="G175" s="55">
        <v>19.0</v>
      </c>
      <c r="H175" s="55">
        <v>10.6</v>
      </c>
      <c r="I175" s="55">
        <v>101.187</v>
      </c>
      <c r="J175" s="55">
        <v>102.192</v>
      </c>
      <c r="K175" s="55">
        <v>102.466</v>
      </c>
      <c r="L175" s="55">
        <v>102.374</v>
      </c>
      <c r="M175" s="55">
        <v>95.251</v>
      </c>
      <c r="N175" s="56"/>
    </row>
    <row r="176" ht="15.75" customHeight="1">
      <c r="A176" s="10">
        <v>36678.0</v>
      </c>
      <c r="B176" s="55">
        <v>101.39</v>
      </c>
      <c r="C176" s="55">
        <v>18.0</v>
      </c>
      <c r="D176" s="55">
        <v>36.0</v>
      </c>
      <c r="E176" s="55">
        <v>6.0</v>
      </c>
      <c r="F176" s="55">
        <v>-5.0</v>
      </c>
      <c r="G176" s="55">
        <v>21.0</v>
      </c>
      <c r="H176" s="55">
        <v>15.2</v>
      </c>
      <c r="I176" s="55">
        <v>100.091</v>
      </c>
      <c r="J176" s="55">
        <v>105.388</v>
      </c>
      <c r="K176" s="55">
        <v>104.292</v>
      </c>
      <c r="L176" s="55">
        <v>99.269</v>
      </c>
      <c r="M176" s="55">
        <v>101.096</v>
      </c>
      <c r="N176" s="56"/>
    </row>
    <row r="177" ht="15.75" customHeight="1">
      <c r="A177" s="10">
        <v>36708.0</v>
      </c>
      <c r="B177" s="55">
        <v>101.737</v>
      </c>
      <c r="C177" s="55">
        <v>18.0</v>
      </c>
      <c r="D177" s="55">
        <v>31.0</v>
      </c>
      <c r="E177" s="55">
        <v>8.0</v>
      </c>
      <c r="F177" s="55">
        <v>2.0</v>
      </c>
      <c r="G177" s="55">
        <v>24.0</v>
      </c>
      <c r="H177" s="55">
        <v>16.6</v>
      </c>
      <c r="I177" s="55">
        <v>104.292</v>
      </c>
      <c r="J177" s="55">
        <v>102.466</v>
      </c>
      <c r="K177" s="55">
        <v>96.164</v>
      </c>
      <c r="L177" s="55">
        <v>101.461</v>
      </c>
      <c r="M177" s="55">
        <v>101.279</v>
      </c>
      <c r="N177" s="56"/>
    </row>
    <row r="178" ht="15.75" customHeight="1">
      <c r="A178" s="10">
        <v>36739.0</v>
      </c>
      <c r="B178" s="55">
        <v>101.052</v>
      </c>
      <c r="C178" s="55">
        <v>18.0</v>
      </c>
      <c r="D178" s="55">
        <v>36.0</v>
      </c>
      <c r="E178" s="55">
        <v>6.0</v>
      </c>
      <c r="F178" s="55">
        <v>-3.0</v>
      </c>
      <c r="G178" s="55">
        <v>23.0</v>
      </c>
      <c r="H178" s="55">
        <v>16.0</v>
      </c>
      <c r="I178" s="55">
        <v>105.662</v>
      </c>
      <c r="J178" s="55">
        <v>108.402</v>
      </c>
      <c r="K178" s="55">
        <v>100.183</v>
      </c>
      <c r="L178" s="55">
        <v>92.877</v>
      </c>
      <c r="M178" s="55">
        <v>99.635</v>
      </c>
      <c r="N178" s="56"/>
    </row>
    <row r="179" ht="15.75" customHeight="1">
      <c r="A179" s="10">
        <v>36770.0</v>
      </c>
      <c r="B179" s="55">
        <v>99.3075</v>
      </c>
      <c r="C179" s="55">
        <v>14.0</v>
      </c>
      <c r="D179" s="55">
        <v>34.0</v>
      </c>
      <c r="E179" s="55">
        <v>1.0</v>
      </c>
      <c r="F179" s="55">
        <v>-5.0</v>
      </c>
      <c r="G179" s="55">
        <v>18.0</v>
      </c>
      <c r="H179" s="55">
        <v>12.4</v>
      </c>
      <c r="I179" s="55">
        <v>101.279</v>
      </c>
      <c r="J179" s="55">
        <v>101.187</v>
      </c>
      <c r="K179" s="55">
        <v>99.726</v>
      </c>
      <c r="L179" s="55">
        <v>102.009</v>
      </c>
      <c r="M179" s="55">
        <v>97.443</v>
      </c>
      <c r="N179" s="56"/>
    </row>
    <row r="180" ht="15.75" customHeight="1">
      <c r="A180" s="10">
        <v>36800.0</v>
      </c>
      <c r="B180" s="55">
        <v>99.3623</v>
      </c>
      <c r="C180" s="55">
        <v>11.0</v>
      </c>
      <c r="D180" s="55">
        <v>34.0</v>
      </c>
      <c r="E180" s="55">
        <v>4.0</v>
      </c>
      <c r="F180" s="55">
        <v>-6.0</v>
      </c>
      <c r="G180" s="55">
        <v>15.0</v>
      </c>
      <c r="H180" s="55">
        <v>11.6</v>
      </c>
      <c r="I180" s="55">
        <v>98.904</v>
      </c>
      <c r="J180" s="55">
        <v>103.379</v>
      </c>
      <c r="K180" s="55">
        <v>103.836</v>
      </c>
      <c r="L180" s="55">
        <v>100.731</v>
      </c>
      <c r="M180" s="55">
        <v>94.795</v>
      </c>
      <c r="N180" s="56"/>
    </row>
    <row r="181" ht="15.75" customHeight="1">
      <c r="A181" s="10">
        <v>36831.0</v>
      </c>
      <c r="B181" s="55">
        <v>96.6502</v>
      </c>
      <c r="C181" s="55">
        <v>12.0</v>
      </c>
      <c r="D181" s="55">
        <v>33.0</v>
      </c>
      <c r="E181" s="55">
        <v>-3.0</v>
      </c>
      <c r="F181" s="55">
        <v>-18.0</v>
      </c>
      <c r="G181" s="55">
        <v>12.0</v>
      </c>
      <c r="H181" s="55">
        <v>7.2</v>
      </c>
      <c r="I181" s="55">
        <v>95.434</v>
      </c>
      <c r="J181" s="55">
        <v>96.53</v>
      </c>
      <c r="K181" s="55">
        <v>93.242</v>
      </c>
      <c r="L181" s="55">
        <v>102.1</v>
      </c>
      <c r="M181" s="55">
        <v>90.32</v>
      </c>
      <c r="N181" s="56"/>
    </row>
    <row r="182" ht="15.75" customHeight="1">
      <c r="A182" s="10">
        <v>36861.0</v>
      </c>
      <c r="B182" s="55">
        <v>96.358</v>
      </c>
      <c r="C182" s="55">
        <v>15.0</v>
      </c>
      <c r="D182" s="55">
        <v>31.0</v>
      </c>
      <c r="E182" s="55">
        <v>2.0</v>
      </c>
      <c r="F182" s="55">
        <v>-11.0</v>
      </c>
      <c r="G182" s="55">
        <v>8.0</v>
      </c>
      <c r="H182" s="55">
        <v>9.0</v>
      </c>
      <c r="I182" s="55">
        <v>98.904</v>
      </c>
      <c r="J182" s="55">
        <v>96.347</v>
      </c>
      <c r="K182" s="55">
        <v>97.169</v>
      </c>
      <c r="L182" s="55">
        <v>94.155</v>
      </c>
      <c r="M182" s="55">
        <v>92.785</v>
      </c>
      <c r="N182" s="56"/>
    </row>
    <row r="183" ht="15.75" customHeight="1">
      <c r="A183" s="10">
        <v>36892.0</v>
      </c>
      <c r="B183" s="55">
        <v>98.513</v>
      </c>
      <c r="C183" s="55">
        <v>14.0</v>
      </c>
      <c r="D183" s="55">
        <v>37.0</v>
      </c>
      <c r="E183" s="55">
        <v>4.0</v>
      </c>
      <c r="F183" s="55">
        <v>0.0</v>
      </c>
      <c r="G183" s="55">
        <v>11.0</v>
      </c>
      <c r="H183" s="55">
        <v>13.2</v>
      </c>
      <c r="I183" s="55">
        <v>101.37</v>
      </c>
      <c r="J183" s="55">
        <v>98.082</v>
      </c>
      <c r="K183" s="55">
        <v>99.087</v>
      </c>
      <c r="L183" s="55">
        <v>105.845</v>
      </c>
      <c r="M183" s="55">
        <v>94.155</v>
      </c>
      <c r="N183" s="56"/>
    </row>
    <row r="184" ht="15.75" customHeight="1">
      <c r="A184" s="10">
        <v>36923.0</v>
      </c>
      <c r="B184" s="55">
        <v>98.3578</v>
      </c>
      <c r="C184" s="55">
        <v>15.0</v>
      </c>
      <c r="D184" s="55">
        <v>31.0</v>
      </c>
      <c r="E184" s="55">
        <v>4.0</v>
      </c>
      <c r="F184" s="55">
        <v>10.0</v>
      </c>
      <c r="G184" s="55">
        <v>16.0</v>
      </c>
      <c r="H184" s="55">
        <v>15.2</v>
      </c>
      <c r="I184" s="55">
        <v>98.447</v>
      </c>
      <c r="J184" s="55">
        <v>100.639</v>
      </c>
      <c r="K184" s="55">
        <v>98.904</v>
      </c>
      <c r="L184" s="55">
        <v>96.073</v>
      </c>
      <c r="M184" s="55">
        <v>97.26</v>
      </c>
      <c r="N184" s="56"/>
    </row>
    <row r="185" ht="15.75" customHeight="1">
      <c r="A185" s="10">
        <v>36951.0</v>
      </c>
      <c r="B185" s="55">
        <v>98.093</v>
      </c>
      <c r="C185" s="55">
        <v>13.0</v>
      </c>
      <c r="D185" s="55">
        <v>32.0</v>
      </c>
      <c r="E185" s="55">
        <v>2.0</v>
      </c>
      <c r="F185" s="55">
        <v>12.0</v>
      </c>
      <c r="G185" s="55">
        <v>13.0</v>
      </c>
      <c r="H185" s="55">
        <v>14.4</v>
      </c>
      <c r="I185" s="55">
        <v>101.735</v>
      </c>
      <c r="J185" s="55">
        <v>101.005</v>
      </c>
      <c r="K185" s="55">
        <v>99.635</v>
      </c>
      <c r="L185" s="55">
        <v>92.329</v>
      </c>
      <c r="M185" s="55">
        <v>95.799</v>
      </c>
      <c r="N185" s="56"/>
    </row>
    <row r="186" ht="15.75" customHeight="1">
      <c r="A186" s="10">
        <v>36982.0</v>
      </c>
      <c r="B186" s="55">
        <v>99.1249</v>
      </c>
      <c r="C186" s="55">
        <v>11.0</v>
      </c>
      <c r="D186" s="55">
        <v>31.0</v>
      </c>
      <c r="E186" s="55">
        <v>2.0</v>
      </c>
      <c r="F186" s="55">
        <v>17.0</v>
      </c>
      <c r="G186" s="55">
        <v>20.0</v>
      </c>
      <c r="H186" s="55">
        <v>16.2</v>
      </c>
      <c r="I186" s="55">
        <v>102.283</v>
      </c>
      <c r="J186" s="55">
        <v>99.543</v>
      </c>
      <c r="K186" s="55">
        <v>97.9</v>
      </c>
      <c r="L186" s="55">
        <v>96.712</v>
      </c>
      <c r="M186" s="55">
        <v>97.352</v>
      </c>
      <c r="N186" s="56"/>
    </row>
    <row r="187" ht="15.75" customHeight="1">
      <c r="A187" s="10">
        <v>37012.0</v>
      </c>
      <c r="B187" s="55">
        <v>97.6364</v>
      </c>
      <c r="C187" s="55">
        <v>10.0</v>
      </c>
      <c r="D187" s="55">
        <v>31.0</v>
      </c>
      <c r="E187" s="55">
        <v>2.0</v>
      </c>
      <c r="F187" s="55">
        <v>11.0</v>
      </c>
      <c r="G187" s="55">
        <v>12.0</v>
      </c>
      <c r="H187" s="55">
        <v>13.2</v>
      </c>
      <c r="I187" s="55">
        <v>98.447</v>
      </c>
      <c r="J187" s="55">
        <v>99.909</v>
      </c>
      <c r="K187" s="55">
        <v>108.858</v>
      </c>
      <c r="L187" s="55">
        <v>92.877</v>
      </c>
      <c r="M187" s="55">
        <v>97.991</v>
      </c>
      <c r="N187" s="56"/>
    </row>
    <row r="188" ht="15.75" customHeight="1">
      <c r="A188" s="10">
        <v>37043.0</v>
      </c>
      <c r="B188" s="55">
        <v>98.8327</v>
      </c>
      <c r="C188" s="55">
        <v>13.0</v>
      </c>
      <c r="D188" s="55">
        <v>29.0</v>
      </c>
      <c r="E188" s="55">
        <v>0.0</v>
      </c>
      <c r="F188" s="55">
        <v>21.0</v>
      </c>
      <c r="G188" s="55">
        <v>15.0</v>
      </c>
      <c r="H188" s="55">
        <v>15.6</v>
      </c>
      <c r="I188" s="55">
        <v>100.274</v>
      </c>
      <c r="J188" s="55">
        <v>97.26</v>
      </c>
      <c r="K188" s="55">
        <v>99.543</v>
      </c>
      <c r="L188" s="55">
        <v>94.429</v>
      </c>
      <c r="M188" s="55">
        <v>96.804</v>
      </c>
      <c r="N188" s="56"/>
    </row>
    <row r="189" ht="15.75" customHeight="1">
      <c r="A189" s="10">
        <v>37073.0</v>
      </c>
      <c r="B189" s="55">
        <v>101.28</v>
      </c>
      <c r="C189" s="55">
        <v>16.0</v>
      </c>
      <c r="D189" s="55">
        <v>29.0</v>
      </c>
      <c r="E189" s="55">
        <v>2.0</v>
      </c>
      <c r="F189" s="55">
        <v>24.0</v>
      </c>
      <c r="G189" s="55">
        <v>19.0</v>
      </c>
      <c r="H189" s="55">
        <v>18.0</v>
      </c>
      <c r="I189" s="55">
        <v>100.822</v>
      </c>
      <c r="J189" s="55">
        <v>101.005</v>
      </c>
      <c r="K189" s="55">
        <v>100.457</v>
      </c>
      <c r="L189" s="55">
        <v>101.096</v>
      </c>
      <c r="M189" s="55">
        <v>103.196</v>
      </c>
      <c r="N189" s="56"/>
    </row>
    <row r="190" ht="15.75" customHeight="1">
      <c r="A190" s="10">
        <v>37104.0</v>
      </c>
      <c r="B190" s="55">
        <v>96.2119</v>
      </c>
      <c r="C190" s="55">
        <v>10.0</v>
      </c>
      <c r="D190" s="55">
        <v>30.0</v>
      </c>
      <c r="E190" s="55">
        <v>0.0</v>
      </c>
      <c r="F190" s="55">
        <v>14.0</v>
      </c>
      <c r="G190" s="55">
        <v>2.0</v>
      </c>
      <c r="H190" s="55">
        <v>11.2</v>
      </c>
      <c r="I190" s="55">
        <v>95.89</v>
      </c>
      <c r="J190" s="55">
        <v>99.726</v>
      </c>
      <c r="K190" s="55">
        <v>96.53</v>
      </c>
      <c r="L190" s="55">
        <v>92.511</v>
      </c>
      <c r="M190" s="55">
        <v>93.151</v>
      </c>
      <c r="N190" s="56"/>
    </row>
    <row r="191" ht="15.75" customHeight="1">
      <c r="A191" s="10">
        <v>37135.0</v>
      </c>
      <c r="B191" s="55">
        <v>96.2027</v>
      </c>
      <c r="C191" s="55">
        <v>7.0</v>
      </c>
      <c r="D191" s="55">
        <v>28.0</v>
      </c>
      <c r="E191" s="55">
        <v>-1.0</v>
      </c>
      <c r="F191" s="55">
        <v>22.0</v>
      </c>
      <c r="G191" s="55">
        <v>-3.0</v>
      </c>
      <c r="H191" s="55">
        <v>10.6</v>
      </c>
      <c r="I191" s="55">
        <v>96.804</v>
      </c>
      <c r="J191" s="55">
        <v>97.991</v>
      </c>
      <c r="K191" s="55">
        <v>100.822</v>
      </c>
      <c r="L191" s="55">
        <v>95.434</v>
      </c>
      <c r="M191" s="55">
        <v>93.242</v>
      </c>
      <c r="N191" s="56"/>
    </row>
    <row r="192" ht="15.75" customHeight="1">
      <c r="A192" s="10">
        <v>37165.0</v>
      </c>
      <c r="B192" s="55">
        <v>99.0883</v>
      </c>
      <c r="C192" s="55">
        <v>10.0</v>
      </c>
      <c r="D192" s="55">
        <v>29.0</v>
      </c>
      <c r="E192" s="55">
        <v>6.0</v>
      </c>
      <c r="F192" s="55">
        <v>26.0</v>
      </c>
      <c r="G192" s="55">
        <v>5.0</v>
      </c>
      <c r="H192" s="55">
        <v>15.2</v>
      </c>
      <c r="I192" s="55">
        <v>96.438</v>
      </c>
      <c r="J192" s="55">
        <v>101.826</v>
      </c>
      <c r="K192" s="55">
        <v>96.438</v>
      </c>
      <c r="L192" s="55">
        <v>98.356</v>
      </c>
      <c r="M192" s="55">
        <v>97.352</v>
      </c>
      <c r="N192" s="56"/>
    </row>
    <row r="193" ht="15.75" customHeight="1">
      <c r="A193" s="10">
        <v>37196.0</v>
      </c>
      <c r="B193" s="55">
        <v>100.303</v>
      </c>
      <c r="C193" s="55">
        <v>6.0</v>
      </c>
      <c r="D193" s="55">
        <v>30.0</v>
      </c>
      <c r="E193" s="55">
        <v>2.0</v>
      </c>
      <c r="F193" s="55">
        <v>40.0</v>
      </c>
      <c r="G193" s="55">
        <v>14.0</v>
      </c>
      <c r="H193" s="55">
        <v>18.4</v>
      </c>
      <c r="I193" s="55">
        <v>100.913</v>
      </c>
      <c r="J193" s="55">
        <v>97.443</v>
      </c>
      <c r="K193" s="55">
        <v>103.288</v>
      </c>
      <c r="L193" s="55">
        <v>92.055</v>
      </c>
      <c r="M193" s="55">
        <v>99.361</v>
      </c>
      <c r="N193" s="56"/>
    </row>
    <row r="194" ht="15.75" customHeight="1">
      <c r="A194" s="10">
        <v>37226.0</v>
      </c>
      <c r="B194" s="55">
        <v>100.65</v>
      </c>
      <c r="C194" s="55">
        <v>11.0</v>
      </c>
      <c r="D194" s="55">
        <v>28.0</v>
      </c>
      <c r="E194" s="55">
        <v>7.0</v>
      </c>
      <c r="F194" s="55">
        <v>37.0</v>
      </c>
      <c r="G194" s="55">
        <v>18.0</v>
      </c>
      <c r="H194" s="55">
        <v>20.2</v>
      </c>
      <c r="I194" s="55">
        <v>103.196</v>
      </c>
      <c r="J194" s="55">
        <v>100.913</v>
      </c>
      <c r="K194" s="55">
        <v>98.63</v>
      </c>
      <c r="L194" s="55">
        <v>100.274</v>
      </c>
      <c r="M194" s="55">
        <v>99.909</v>
      </c>
      <c r="N194" s="56"/>
    </row>
    <row r="195" ht="15.75" customHeight="1">
      <c r="A195" s="10">
        <v>37257.0</v>
      </c>
      <c r="B195" s="55">
        <v>100.431</v>
      </c>
      <c r="C195" s="55">
        <v>8.0</v>
      </c>
      <c r="D195" s="55">
        <v>31.0</v>
      </c>
      <c r="E195" s="55">
        <v>5.0</v>
      </c>
      <c r="F195" s="55">
        <v>41.0</v>
      </c>
      <c r="G195" s="55">
        <v>21.0</v>
      </c>
      <c r="H195" s="55">
        <v>21.2</v>
      </c>
      <c r="I195" s="55">
        <v>97.626</v>
      </c>
      <c r="J195" s="55">
        <v>101.553</v>
      </c>
      <c r="K195" s="55">
        <v>102.283</v>
      </c>
      <c r="L195" s="55">
        <v>101.918</v>
      </c>
      <c r="M195" s="55">
        <v>101.187</v>
      </c>
      <c r="N195" s="56"/>
    </row>
    <row r="196" ht="15.75" customHeight="1">
      <c r="A196" s="10">
        <v>37288.0</v>
      </c>
      <c r="B196" s="55">
        <v>104.202</v>
      </c>
      <c r="C196" s="55">
        <v>13.0</v>
      </c>
      <c r="D196" s="55">
        <v>32.0</v>
      </c>
      <c r="E196" s="55">
        <v>7.0</v>
      </c>
      <c r="F196" s="55">
        <v>54.0</v>
      </c>
      <c r="G196" s="55">
        <v>26.0</v>
      </c>
      <c r="H196" s="55">
        <v>26.4</v>
      </c>
      <c r="I196" s="55">
        <v>104.292</v>
      </c>
      <c r="J196" s="55">
        <v>106.21</v>
      </c>
      <c r="K196" s="55">
        <v>97.443</v>
      </c>
      <c r="L196" s="55">
        <v>103.288</v>
      </c>
      <c r="M196" s="55">
        <v>103.927</v>
      </c>
      <c r="N196" s="56"/>
    </row>
    <row r="197" ht="15.75" customHeight="1">
      <c r="A197" s="10">
        <v>37316.0</v>
      </c>
      <c r="B197" s="55">
        <v>101.837</v>
      </c>
      <c r="C197" s="55">
        <v>13.0</v>
      </c>
      <c r="D197" s="55">
        <v>31.0</v>
      </c>
      <c r="E197" s="55">
        <v>7.0</v>
      </c>
      <c r="F197" s="55">
        <v>39.0</v>
      </c>
      <c r="G197" s="55">
        <v>25.0</v>
      </c>
      <c r="H197" s="55">
        <v>23.0</v>
      </c>
      <c r="I197" s="55">
        <v>104.018</v>
      </c>
      <c r="J197" s="55">
        <v>103.562</v>
      </c>
      <c r="K197" s="55">
        <v>101.826</v>
      </c>
      <c r="L197" s="55">
        <v>105.479</v>
      </c>
      <c r="M197" s="55">
        <v>100.183</v>
      </c>
      <c r="N197" s="56"/>
    </row>
    <row r="198" ht="15.75" customHeight="1">
      <c r="A198" s="10">
        <v>37347.0</v>
      </c>
      <c r="B198" s="55">
        <v>101.864</v>
      </c>
      <c r="C198" s="55">
        <v>13.0</v>
      </c>
      <c r="D198" s="55">
        <v>32.0</v>
      </c>
      <c r="E198" s="55">
        <v>4.0</v>
      </c>
      <c r="F198" s="55">
        <v>37.0</v>
      </c>
      <c r="G198" s="55">
        <v>31.0</v>
      </c>
      <c r="H198" s="55">
        <v>23.4</v>
      </c>
      <c r="I198" s="55">
        <v>104.018</v>
      </c>
      <c r="J198" s="55">
        <v>107.306</v>
      </c>
      <c r="K198" s="55">
        <v>103.196</v>
      </c>
      <c r="L198" s="55">
        <v>97.078</v>
      </c>
      <c r="M198" s="55">
        <v>100.548</v>
      </c>
      <c r="N198" s="56"/>
    </row>
    <row r="199" ht="15.75" customHeight="1">
      <c r="A199" s="10">
        <v>37377.0</v>
      </c>
      <c r="B199" s="55">
        <v>102.567</v>
      </c>
      <c r="C199" s="55">
        <v>13.0</v>
      </c>
      <c r="D199" s="55">
        <v>30.0</v>
      </c>
      <c r="E199" s="55">
        <v>8.0</v>
      </c>
      <c r="F199" s="55">
        <v>34.0</v>
      </c>
      <c r="G199" s="55">
        <v>24.0</v>
      </c>
      <c r="H199" s="55">
        <v>21.8</v>
      </c>
      <c r="I199" s="55">
        <v>103.196</v>
      </c>
      <c r="J199" s="55">
        <v>101.644</v>
      </c>
      <c r="K199" s="55">
        <v>107.945</v>
      </c>
      <c r="L199" s="55">
        <v>98.813</v>
      </c>
      <c r="M199" s="55">
        <v>101.735</v>
      </c>
      <c r="N199" s="56"/>
    </row>
    <row r="200" ht="15.75" customHeight="1">
      <c r="A200" s="10">
        <v>37408.0</v>
      </c>
      <c r="B200" s="55">
        <v>99.8372</v>
      </c>
      <c r="C200" s="55">
        <v>10.0</v>
      </c>
      <c r="D200" s="55">
        <v>30.0</v>
      </c>
      <c r="E200" s="55">
        <v>2.0</v>
      </c>
      <c r="F200" s="55">
        <v>30.0</v>
      </c>
      <c r="G200" s="55">
        <v>21.0</v>
      </c>
      <c r="H200" s="55">
        <v>18.6</v>
      </c>
      <c r="I200" s="55">
        <v>101.279</v>
      </c>
      <c r="J200" s="55">
        <v>103.744</v>
      </c>
      <c r="K200" s="55">
        <v>104.11</v>
      </c>
      <c r="L200" s="55">
        <v>97.808</v>
      </c>
      <c r="M200" s="55">
        <v>98.539</v>
      </c>
      <c r="N200" s="56"/>
    </row>
    <row r="201" ht="15.75" customHeight="1">
      <c r="A201" s="10">
        <v>37438.0</v>
      </c>
      <c r="B201" s="55">
        <v>101.28</v>
      </c>
      <c r="C201" s="55">
        <v>12.0</v>
      </c>
      <c r="D201" s="55">
        <v>26.0</v>
      </c>
      <c r="E201" s="55">
        <v>6.0</v>
      </c>
      <c r="F201" s="55">
        <v>39.0</v>
      </c>
      <c r="G201" s="55">
        <v>20.0</v>
      </c>
      <c r="H201" s="55">
        <v>20.6</v>
      </c>
      <c r="I201" s="55">
        <v>102.1</v>
      </c>
      <c r="J201" s="55">
        <v>105.662</v>
      </c>
      <c r="K201" s="55">
        <v>106.849</v>
      </c>
      <c r="L201" s="55">
        <v>97.534</v>
      </c>
      <c r="M201" s="55">
        <v>101.005</v>
      </c>
      <c r="N201" s="56"/>
    </row>
    <row r="202" ht="15.75" customHeight="1">
      <c r="A202" s="10">
        <v>37469.0</v>
      </c>
      <c r="B202" s="55">
        <v>100.96</v>
      </c>
      <c r="C202" s="55">
        <v>7.0</v>
      </c>
      <c r="D202" s="55">
        <v>32.0</v>
      </c>
      <c r="E202" s="55">
        <v>6.0</v>
      </c>
      <c r="F202" s="55">
        <v>35.0</v>
      </c>
      <c r="G202" s="55">
        <v>22.0</v>
      </c>
      <c r="H202" s="55">
        <v>20.4</v>
      </c>
      <c r="I202" s="55">
        <v>99.909</v>
      </c>
      <c r="J202" s="55">
        <v>98.174</v>
      </c>
      <c r="K202" s="55">
        <v>106.027</v>
      </c>
      <c r="L202" s="55">
        <v>99.269</v>
      </c>
      <c r="M202" s="55">
        <v>100.183</v>
      </c>
      <c r="N202" s="56"/>
    </row>
    <row r="203" ht="15.75" customHeight="1">
      <c r="A203" s="10">
        <v>37500.0</v>
      </c>
      <c r="B203" s="55">
        <v>100.312</v>
      </c>
      <c r="C203" s="55">
        <v>11.0</v>
      </c>
      <c r="D203" s="55">
        <v>31.0</v>
      </c>
      <c r="E203" s="55">
        <v>4.0</v>
      </c>
      <c r="F203" s="55">
        <v>29.0</v>
      </c>
      <c r="G203" s="55">
        <v>17.0</v>
      </c>
      <c r="H203" s="55">
        <v>18.4</v>
      </c>
      <c r="I203" s="55">
        <v>101.37</v>
      </c>
      <c r="J203" s="55">
        <v>101.096</v>
      </c>
      <c r="K203" s="55">
        <v>101.735</v>
      </c>
      <c r="L203" s="55">
        <v>97.26</v>
      </c>
      <c r="M203" s="55">
        <v>100.457</v>
      </c>
      <c r="N203" s="56"/>
    </row>
    <row r="204" ht="15.75" customHeight="1">
      <c r="A204" s="10">
        <v>37530.0</v>
      </c>
      <c r="B204" s="55">
        <v>101.645</v>
      </c>
      <c r="C204" s="55">
        <v>8.0</v>
      </c>
      <c r="D204" s="55">
        <v>30.0</v>
      </c>
      <c r="E204" s="55">
        <v>8.0</v>
      </c>
      <c r="F204" s="55">
        <v>38.0</v>
      </c>
      <c r="G204" s="55">
        <v>16.0</v>
      </c>
      <c r="H204" s="55">
        <v>20.0</v>
      </c>
      <c r="I204" s="55">
        <v>100.731</v>
      </c>
      <c r="J204" s="55">
        <v>106.21</v>
      </c>
      <c r="K204" s="55">
        <v>105.297</v>
      </c>
      <c r="L204" s="55">
        <v>102.557</v>
      </c>
      <c r="M204" s="55">
        <v>97.9</v>
      </c>
      <c r="N204" s="56"/>
    </row>
    <row r="205" ht="15.75" customHeight="1">
      <c r="A205" s="10">
        <v>37561.0</v>
      </c>
      <c r="B205" s="55">
        <v>98.4765</v>
      </c>
      <c r="C205" s="55">
        <v>11.0</v>
      </c>
      <c r="D205" s="55">
        <v>30.0</v>
      </c>
      <c r="E205" s="55">
        <v>4.0</v>
      </c>
      <c r="F205" s="55">
        <v>25.0</v>
      </c>
      <c r="G205" s="55">
        <v>13.0</v>
      </c>
      <c r="H205" s="55">
        <v>16.6</v>
      </c>
      <c r="I205" s="55">
        <v>97.626</v>
      </c>
      <c r="J205" s="55">
        <v>104.018</v>
      </c>
      <c r="K205" s="55">
        <v>90.959</v>
      </c>
      <c r="L205" s="55">
        <v>97.443</v>
      </c>
      <c r="M205" s="55">
        <v>95.251</v>
      </c>
      <c r="N205" s="56"/>
    </row>
    <row r="206" ht="15.75" customHeight="1">
      <c r="A206" s="10">
        <v>37591.0</v>
      </c>
      <c r="B206" s="55">
        <v>99.0062</v>
      </c>
      <c r="C206" s="55">
        <v>7.0</v>
      </c>
      <c r="D206" s="55">
        <v>30.0</v>
      </c>
      <c r="E206" s="55">
        <v>6.0</v>
      </c>
      <c r="F206" s="55">
        <v>23.0</v>
      </c>
      <c r="G206" s="55">
        <v>17.0</v>
      </c>
      <c r="H206" s="55">
        <v>16.6</v>
      </c>
      <c r="I206" s="55">
        <v>99.361</v>
      </c>
      <c r="J206" s="55">
        <v>102.1</v>
      </c>
      <c r="K206" s="55">
        <v>97.626</v>
      </c>
      <c r="L206" s="55">
        <v>101.187</v>
      </c>
      <c r="M206" s="55">
        <v>96.895</v>
      </c>
      <c r="N206" s="56"/>
    </row>
    <row r="207" ht="15.75" customHeight="1">
      <c r="A207" s="10">
        <v>37622.0</v>
      </c>
      <c r="B207" s="55">
        <v>96.2301</v>
      </c>
      <c r="C207" s="55">
        <v>7.0</v>
      </c>
      <c r="D207" s="55">
        <v>28.0</v>
      </c>
      <c r="E207" s="55">
        <v>4.0</v>
      </c>
      <c r="F207" s="55">
        <v>16.0</v>
      </c>
      <c r="G207" s="55">
        <v>11.0</v>
      </c>
      <c r="H207" s="55">
        <v>13.2</v>
      </c>
      <c r="I207" s="55">
        <v>95.799</v>
      </c>
      <c r="J207" s="55">
        <v>99.087</v>
      </c>
      <c r="K207" s="55">
        <v>95.434</v>
      </c>
      <c r="L207" s="55">
        <v>85.479</v>
      </c>
      <c r="M207" s="55">
        <v>94.338</v>
      </c>
      <c r="N207" s="56"/>
    </row>
    <row r="208" ht="15.75" customHeight="1">
      <c r="A208" s="10">
        <v>37653.0</v>
      </c>
      <c r="B208" s="55">
        <v>95.253</v>
      </c>
      <c r="C208" s="55">
        <v>4.0</v>
      </c>
      <c r="D208" s="55">
        <v>25.0</v>
      </c>
      <c r="E208" s="55">
        <v>3.0</v>
      </c>
      <c r="F208" s="55">
        <v>13.0</v>
      </c>
      <c r="G208" s="55">
        <v>6.0</v>
      </c>
      <c r="H208" s="55">
        <v>10.2</v>
      </c>
      <c r="I208" s="55">
        <v>100.091</v>
      </c>
      <c r="J208" s="55">
        <v>94.155</v>
      </c>
      <c r="K208" s="55">
        <v>108.128</v>
      </c>
      <c r="L208" s="55">
        <v>94.338</v>
      </c>
      <c r="M208" s="55">
        <v>90.868</v>
      </c>
      <c r="N208" s="56"/>
    </row>
    <row r="209" ht="15.75" customHeight="1">
      <c r="A209" s="10">
        <v>37681.0</v>
      </c>
      <c r="B209" s="55">
        <v>99.6454</v>
      </c>
      <c r="C209" s="55">
        <v>9.0</v>
      </c>
      <c r="D209" s="55">
        <v>29.0</v>
      </c>
      <c r="E209" s="55">
        <v>2.0</v>
      </c>
      <c r="F209" s="55">
        <v>38.0</v>
      </c>
      <c r="G209" s="55">
        <v>19.0</v>
      </c>
      <c r="H209" s="55">
        <v>19.4</v>
      </c>
      <c r="I209" s="55">
        <v>101.644</v>
      </c>
      <c r="J209" s="55">
        <v>101.553</v>
      </c>
      <c r="K209" s="55">
        <v>100.822</v>
      </c>
      <c r="L209" s="55">
        <v>98.904</v>
      </c>
      <c r="M209" s="55">
        <v>96.712</v>
      </c>
      <c r="N209" s="56"/>
    </row>
    <row r="210" ht="15.75" customHeight="1">
      <c r="A210" s="10">
        <v>37712.0</v>
      </c>
      <c r="B210" s="55">
        <v>99.6728</v>
      </c>
      <c r="C210" s="55">
        <v>9.0</v>
      </c>
      <c r="D210" s="55">
        <v>28.0</v>
      </c>
      <c r="E210" s="55">
        <v>5.0</v>
      </c>
      <c r="F210" s="55">
        <v>38.0</v>
      </c>
      <c r="G210" s="55">
        <v>18.0</v>
      </c>
      <c r="H210" s="55">
        <v>19.6</v>
      </c>
      <c r="I210" s="55">
        <v>99.726</v>
      </c>
      <c r="J210" s="55">
        <v>95.434</v>
      </c>
      <c r="K210" s="55">
        <v>99.361</v>
      </c>
      <c r="L210" s="55">
        <v>102.466</v>
      </c>
      <c r="M210" s="55">
        <v>99.543</v>
      </c>
      <c r="N210" s="56"/>
    </row>
    <row r="211" ht="15.75" customHeight="1">
      <c r="A211" s="10">
        <v>37742.0</v>
      </c>
      <c r="B211" s="55">
        <v>102.202</v>
      </c>
      <c r="C211" s="55">
        <v>10.0</v>
      </c>
      <c r="D211" s="55">
        <v>29.0</v>
      </c>
      <c r="E211" s="55">
        <v>2.0</v>
      </c>
      <c r="F211" s="55">
        <v>49.0</v>
      </c>
      <c r="G211" s="55">
        <v>26.0</v>
      </c>
      <c r="H211" s="55">
        <v>23.2</v>
      </c>
      <c r="I211" s="55">
        <v>99.817</v>
      </c>
      <c r="J211" s="55">
        <v>102.557</v>
      </c>
      <c r="K211" s="55">
        <v>109.863</v>
      </c>
      <c r="L211" s="55">
        <v>100.365</v>
      </c>
      <c r="M211" s="55">
        <v>97.169</v>
      </c>
      <c r="N211" s="56"/>
    </row>
    <row r="212" ht="15.75" customHeight="1">
      <c r="A212" s="10">
        <v>37773.0</v>
      </c>
      <c r="B212" s="55">
        <v>100.933</v>
      </c>
      <c r="C212" s="55">
        <v>12.0</v>
      </c>
      <c r="D212" s="55">
        <v>28.0</v>
      </c>
      <c r="E212" s="55">
        <v>1.0</v>
      </c>
      <c r="F212" s="55">
        <v>38.0</v>
      </c>
      <c r="G212" s="55">
        <v>21.0</v>
      </c>
      <c r="H212" s="55">
        <v>20.0</v>
      </c>
      <c r="I212" s="55">
        <v>104.018</v>
      </c>
      <c r="J212" s="55">
        <v>101.644</v>
      </c>
      <c r="K212" s="55">
        <v>102.648</v>
      </c>
      <c r="L212" s="55">
        <v>104.201</v>
      </c>
      <c r="M212" s="55">
        <v>97.443</v>
      </c>
      <c r="N212" s="56"/>
    </row>
    <row r="213" ht="15.75" customHeight="1">
      <c r="A213" s="10">
        <v>37803.0</v>
      </c>
      <c r="B213" s="55">
        <v>104.476</v>
      </c>
      <c r="C213" s="55">
        <v>12.0</v>
      </c>
      <c r="D213" s="55">
        <v>33.0</v>
      </c>
      <c r="E213" s="55">
        <v>5.0</v>
      </c>
      <c r="F213" s="55">
        <v>41.0</v>
      </c>
      <c r="G213" s="55">
        <v>30.0</v>
      </c>
      <c r="H213" s="55">
        <v>24.2</v>
      </c>
      <c r="I213" s="55">
        <v>106.758</v>
      </c>
      <c r="J213" s="55">
        <v>108.128</v>
      </c>
      <c r="K213" s="55">
        <v>111.416</v>
      </c>
      <c r="L213" s="55">
        <v>100.639</v>
      </c>
      <c r="M213" s="55">
        <v>95.799</v>
      </c>
      <c r="N213" s="56"/>
    </row>
    <row r="214" ht="15.75" customHeight="1">
      <c r="A214" s="10">
        <v>37834.0</v>
      </c>
      <c r="B214" s="55">
        <v>101.873</v>
      </c>
      <c r="C214" s="55">
        <v>10.0</v>
      </c>
      <c r="D214" s="55">
        <v>28.0</v>
      </c>
      <c r="E214" s="55">
        <v>2.0</v>
      </c>
      <c r="F214" s="55">
        <v>41.0</v>
      </c>
      <c r="G214" s="55">
        <v>22.0</v>
      </c>
      <c r="H214" s="55">
        <v>20.6</v>
      </c>
      <c r="I214" s="55">
        <v>101.826</v>
      </c>
      <c r="J214" s="55">
        <v>104.566</v>
      </c>
      <c r="K214" s="55">
        <v>105.479</v>
      </c>
      <c r="L214" s="55">
        <v>106.667</v>
      </c>
      <c r="M214" s="55">
        <v>98.813</v>
      </c>
      <c r="N214" s="56"/>
    </row>
    <row r="215" ht="15.75" customHeight="1">
      <c r="A215" s="10">
        <v>37865.0</v>
      </c>
      <c r="B215" s="55">
        <v>103.965</v>
      </c>
      <c r="C215" s="55">
        <v>13.0</v>
      </c>
      <c r="D215" s="55">
        <v>29.0</v>
      </c>
      <c r="E215" s="55">
        <v>5.0</v>
      </c>
      <c r="F215" s="55">
        <v>44.0</v>
      </c>
      <c r="G215" s="55">
        <v>29.0</v>
      </c>
      <c r="H215" s="55">
        <v>24.0</v>
      </c>
      <c r="I215" s="55">
        <v>104.84</v>
      </c>
      <c r="J215" s="55">
        <v>107.123</v>
      </c>
      <c r="K215" s="55">
        <v>106.849</v>
      </c>
      <c r="L215" s="55">
        <v>110.046</v>
      </c>
      <c r="M215" s="55">
        <v>101.37</v>
      </c>
      <c r="N215" s="56"/>
    </row>
    <row r="216" ht="15.75" customHeight="1">
      <c r="A216" s="10">
        <v>37895.0</v>
      </c>
      <c r="B216" s="55">
        <v>105.024</v>
      </c>
      <c r="C216" s="55">
        <v>11.0</v>
      </c>
      <c r="D216" s="55">
        <v>29.0</v>
      </c>
      <c r="E216" s="55">
        <v>6.0</v>
      </c>
      <c r="F216" s="55">
        <v>47.0</v>
      </c>
      <c r="G216" s="55">
        <v>30.0</v>
      </c>
      <c r="H216" s="55">
        <v>24.6</v>
      </c>
      <c r="I216" s="55">
        <v>103.379</v>
      </c>
      <c r="J216" s="55">
        <v>111.416</v>
      </c>
      <c r="K216" s="55">
        <v>103.379</v>
      </c>
      <c r="L216" s="55">
        <v>103.014</v>
      </c>
      <c r="M216" s="55">
        <v>101.918</v>
      </c>
      <c r="N216" s="56"/>
    </row>
    <row r="217" ht="15.75" customHeight="1">
      <c r="A217" s="10">
        <v>37926.0</v>
      </c>
      <c r="B217" s="55">
        <v>106.878</v>
      </c>
      <c r="C217" s="55">
        <v>19.0</v>
      </c>
      <c r="D217" s="55">
        <v>37.0</v>
      </c>
      <c r="E217" s="55">
        <v>9.0</v>
      </c>
      <c r="F217" s="55">
        <v>47.0</v>
      </c>
      <c r="G217" s="55">
        <v>33.0</v>
      </c>
      <c r="H217" s="55">
        <v>29.0</v>
      </c>
      <c r="I217" s="55">
        <v>106.849</v>
      </c>
      <c r="J217" s="55">
        <v>110.137</v>
      </c>
      <c r="K217" s="55">
        <v>113.333</v>
      </c>
      <c r="L217" s="55">
        <v>113.151</v>
      </c>
      <c r="M217" s="55">
        <v>102.009</v>
      </c>
      <c r="N217" s="56"/>
    </row>
    <row r="218" ht="15.75" customHeight="1">
      <c r="A218" s="10">
        <v>37956.0</v>
      </c>
      <c r="B218" s="55">
        <v>105.672</v>
      </c>
      <c r="C218" s="55">
        <v>16.0</v>
      </c>
      <c r="D218" s="55">
        <v>33.0</v>
      </c>
      <c r="E218" s="55">
        <v>7.0</v>
      </c>
      <c r="F218" s="55">
        <v>41.0</v>
      </c>
      <c r="G218" s="55">
        <v>34.0</v>
      </c>
      <c r="H218" s="55">
        <v>26.2</v>
      </c>
      <c r="I218" s="55">
        <v>107.032</v>
      </c>
      <c r="J218" s="55">
        <v>107.58</v>
      </c>
      <c r="K218" s="55">
        <v>104.11</v>
      </c>
      <c r="L218" s="55">
        <v>109.041</v>
      </c>
      <c r="M218" s="55">
        <v>104.384</v>
      </c>
      <c r="N218" s="56"/>
    </row>
    <row r="219" ht="15.75" customHeight="1">
      <c r="A219" s="10">
        <v>37987.0</v>
      </c>
      <c r="B219" s="55">
        <v>102.805</v>
      </c>
      <c r="C219" s="55">
        <v>14.0</v>
      </c>
      <c r="D219" s="55">
        <v>29.0</v>
      </c>
      <c r="E219" s="55">
        <v>3.0</v>
      </c>
      <c r="F219" s="55">
        <v>36.0</v>
      </c>
      <c r="G219" s="55">
        <v>25.0</v>
      </c>
      <c r="H219" s="55">
        <v>21.4</v>
      </c>
      <c r="I219" s="55">
        <v>103.47</v>
      </c>
      <c r="J219" s="55">
        <v>107.123</v>
      </c>
      <c r="K219" s="55">
        <v>104.201</v>
      </c>
      <c r="L219" s="55">
        <v>104.292</v>
      </c>
      <c r="M219" s="55">
        <v>101.735</v>
      </c>
      <c r="N219" s="56"/>
    </row>
    <row r="220" ht="15.75" customHeight="1">
      <c r="A220" s="10">
        <v>38018.0</v>
      </c>
      <c r="B220" s="55">
        <v>103.106</v>
      </c>
      <c r="C220" s="55">
        <v>16.0</v>
      </c>
      <c r="D220" s="55">
        <v>33.0</v>
      </c>
      <c r="E220" s="55">
        <v>6.0</v>
      </c>
      <c r="F220" s="55">
        <v>28.0</v>
      </c>
      <c r="G220" s="55">
        <v>31.0</v>
      </c>
      <c r="H220" s="55">
        <v>22.8</v>
      </c>
      <c r="I220" s="55">
        <v>105.388</v>
      </c>
      <c r="J220" s="55">
        <v>106.119</v>
      </c>
      <c r="K220" s="55">
        <v>98.265</v>
      </c>
      <c r="L220" s="55">
        <v>107.489</v>
      </c>
      <c r="M220" s="55">
        <v>97.991</v>
      </c>
      <c r="N220" s="56"/>
    </row>
    <row r="221" ht="15.75" customHeight="1">
      <c r="A221" s="10">
        <v>38047.0</v>
      </c>
      <c r="B221" s="55">
        <v>105.033</v>
      </c>
      <c r="C221" s="55">
        <v>15.0</v>
      </c>
      <c r="D221" s="55">
        <v>33.0</v>
      </c>
      <c r="E221" s="55">
        <v>8.0</v>
      </c>
      <c r="F221" s="55">
        <v>36.0</v>
      </c>
      <c r="G221" s="55">
        <v>30.0</v>
      </c>
      <c r="H221" s="55">
        <v>24.4</v>
      </c>
      <c r="I221" s="55">
        <v>104.11</v>
      </c>
      <c r="J221" s="55">
        <v>110.32</v>
      </c>
      <c r="K221" s="55">
        <v>106.119</v>
      </c>
      <c r="L221" s="55">
        <v>110.776</v>
      </c>
      <c r="M221" s="55">
        <v>103.288</v>
      </c>
      <c r="N221" s="56"/>
    </row>
    <row r="222" ht="15.75" customHeight="1">
      <c r="A222" s="10">
        <v>38078.0</v>
      </c>
      <c r="B222" s="55">
        <v>104.056</v>
      </c>
      <c r="C222" s="55">
        <v>14.0</v>
      </c>
      <c r="D222" s="55">
        <v>32.0</v>
      </c>
      <c r="E222" s="55">
        <v>6.0</v>
      </c>
      <c r="F222" s="55">
        <v>28.0</v>
      </c>
      <c r="G222" s="55">
        <v>30.0</v>
      </c>
      <c r="H222" s="55">
        <v>22.0</v>
      </c>
      <c r="I222" s="55">
        <v>104.475</v>
      </c>
      <c r="J222" s="55">
        <v>112.511</v>
      </c>
      <c r="K222" s="55">
        <v>106.941</v>
      </c>
      <c r="L222" s="55">
        <v>103.836</v>
      </c>
      <c r="M222" s="55">
        <v>100.091</v>
      </c>
      <c r="N222" s="56"/>
    </row>
    <row r="223" ht="15.75" customHeight="1">
      <c r="A223" s="10">
        <v>38108.0</v>
      </c>
      <c r="B223" s="55">
        <v>103.481</v>
      </c>
      <c r="C223" s="55">
        <v>14.0</v>
      </c>
      <c r="D223" s="55">
        <v>29.0</v>
      </c>
      <c r="E223" s="55">
        <v>9.0</v>
      </c>
      <c r="F223" s="55">
        <v>27.0</v>
      </c>
      <c r="G223" s="55">
        <v>28.0</v>
      </c>
      <c r="H223" s="55">
        <v>21.4</v>
      </c>
      <c r="I223" s="55">
        <v>104.658</v>
      </c>
      <c r="J223" s="55">
        <v>109.132</v>
      </c>
      <c r="K223" s="55">
        <v>109.863</v>
      </c>
      <c r="L223" s="55">
        <v>98.174</v>
      </c>
      <c r="M223" s="55">
        <v>99.452</v>
      </c>
      <c r="N223" s="56"/>
    </row>
    <row r="224" ht="15.75" customHeight="1">
      <c r="A224" s="10">
        <v>38139.0</v>
      </c>
      <c r="B224" s="55">
        <v>106.229</v>
      </c>
      <c r="C224" s="55">
        <v>15.0</v>
      </c>
      <c r="D224" s="55">
        <v>34.0</v>
      </c>
      <c r="E224" s="55">
        <v>5.0</v>
      </c>
      <c r="F224" s="55">
        <v>37.0</v>
      </c>
      <c r="G224" s="55">
        <v>36.0</v>
      </c>
      <c r="H224" s="55">
        <v>25.4</v>
      </c>
      <c r="I224" s="55">
        <v>108.676</v>
      </c>
      <c r="J224" s="55">
        <v>105.571</v>
      </c>
      <c r="K224" s="55">
        <v>110.868</v>
      </c>
      <c r="L224" s="55">
        <v>110.046</v>
      </c>
      <c r="M224" s="55">
        <v>102.283</v>
      </c>
      <c r="N224" s="56"/>
    </row>
    <row r="225" ht="15.75" customHeight="1">
      <c r="A225" s="10">
        <v>38169.0</v>
      </c>
      <c r="B225" s="55">
        <v>102.741</v>
      </c>
      <c r="C225" s="55">
        <v>17.0</v>
      </c>
      <c r="D225" s="55">
        <v>30.0</v>
      </c>
      <c r="E225" s="55">
        <v>3.0</v>
      </c>
      <c r="F225" s="55">
        <v>31.0</v>
      </c>
      <c r="G225" s="55">
        <v>26.0</v>
      </c>
      <c r="H225" s="55">
        <v>21.4</v>
      </c>
      <c r="I225" s="55">
        <v>102.374</v>
      </c>
      <c r="J225" s="55">
        <v>105.388</v>
      </c>
      <c r="K225" s="55">
        <v>105.845</v>
      </c>
      <c r="L225" s="55">
        <v>106.027</v>
      </c>
      <c r="M225" s="55">
        <v>100.457</v>
      </c>
      <c r="N225" s="56"/>
    </row>
    <row r="226" ht="15.75" customHeight="1">
      <c r="A226" s="10">
        <v>38200.0</v>
      </c>
      <c r="B226" s="55">
        <v>104.43</v>
      </c>
      <c r="C226" s="55">
        <v>14.0</v>
      </c>
      <c r="D226" s="55">
        <v>34.0</v>
      </c>
      <c r="E226" s="55">
        <v>10.0</v>
      </c>
      <c r="F226" s="55">
        <v>34.0</v>
      </c>
      <c r="G226" s="55">
        <v>24.0</v>
      </c>
      <c r="H226" s="55">
        <v>23.2</v>
      </c>
      <c r="I226" s="55">
        <v>102.466</v>
      </c>
      <c r="J226" s="55">
        <v>107.58</v>
      </c>
      <c r="K226" s="55">
        <v>108.128</v>
      </c>
      <c r="L226" s="55">
        <v>104.201</v>
      </c>
      <c r="M226" s="55">
        <v>103.014</v>
      </c>
      <c r="N226" s="56"/>
    </row>
    <row r="227" ht="15.75" customHeight="1">
      <c r="A227" s="10">
        <v>38231.0</v>
      </c>
      <c r="B227" s="55">
        <v>103.873</v>
      </c>
      <c r="C227" s="55">
        <v>15.0</v>
      </c>
      <c r="D227" s="55">
        <v>35.0</v>
      </c>
      <c r="E227" s="55">
        <v>6.0</v>
      </c>
      <c r="F227" s="55">
        <v>28.0</v>
      </c>
      <c r="G227" s="55">
        <v>23.0</v>
      </c>
      <c r="H227" s="55">
        <v>21.4</v>
      </c>
      <c r="I227" s="55">
        <v>104.658</v>
      </c>
      <c r="J227" s="55">
        <v>106.849</v>
      </c>
      <c r="K227" s="55">
        <v>109.589</v>
      </c>
      <c r="L227" s="55">
        <v>105.845</v>
      </c>
      <c r="M227" s="55">
        <v>101.187</v>
      </c>
      <c r="N227" s="56"/>
    </row>
    <row r="228" ht="15.75" customHeight="1">
      <c r="A228" s="10">
        <v>38261.0</v>
      </c>
      <c r="B228" s="55">
        <v>107.398</v>
      </c>
      <c r="C228" s="55">
        <v>18.0</v>
      </c>
      <c r="D228" s="55">
        <v>30.0</v>
      </c>
      <c r="E228" s="55">
        <v>11.0</v>
      </c>
      <c r="F228" s="55">
        <v>43.0</v>
      </c>
      <c r="G228" s="55">
        <v>34.0</v>
      </c>
      <c r="H228" s="55">
        <v>27.2</v>
      </c>
      <c r="I228" s="55">
        <v>108.767</v>
      </c>
      <c r="J228" s="55">
        <v>112.237</v>
      </c>
      <c r="K228" s="55">
        <v>102.831</v>
      </c>
      <c r="L228" s="55">
        <v>107.215</v>
      </c>
      <c r="M228" s="55">
        <v>104.475</v>
      </c>
      <c r="N228" s="56"/>
    </row>
    <row r="229" ht="15.75" customHeight="1">
      <c r="A229" s="10">
        <v>38292.0</v>
      </c>
      <c r="B229" s="55">
        <v>106.056</v>
      </c>
      <c r="C229" s="55">
        <v>16.0</v>
      </c>
      <c r="D229" s="55">
        <v>37.0</v>
      </c>
      <c r="E229" s="55">
        <v>2.0</v>
      </c>
      <c r="F229" s="55">
        <v>35.0</v>
      </c>
      <c r="G229" s="55">
        <v>33.0</v>
      </c>
      <c r="H229" s="55">
        <v>24.6</v>
      </c>
      <c r="I229" s="55">
        <v>103.744</v>
      </c>
      <c r="J229" s="55">
        <v>109.406</v>
      </c>
      <c r="K229" s="55">
        <v>108.95</v>
      </c>
      <c r="L229" s="55">
        <v>110.868</v>
      </c>
      <c r="M229" s="55">
        <v>101.005</v>
      </c>
      <c r="N229" s="56"/>
    </row>
    <row r="230" ht="15.75" customHeight="1">
      <c r="A230" s="10">
        <v>38322.0</v>
      </c>
      <c r="B230" s="55">
        <v>103.481</v>
      </c>
      <c r="C230" s="55">
        <v>14.0</v>
      </c>
      <c r="D230" s="55">
        <v>33.0</v>
      </c>
      <c r="E230" s="55">
        <v>6.0</v>
      </c>
      <c r="F230" s="55">
        <v>25.0</v>
      </c>
      <c r="G230" s="55">
        <v>28.0</v>
      </c>
      <c r="H230" s="55">
        <v>21.2</v>
      </c>
      <c r="I230" s="55">
        <v>103.744</v>
      </c>
      <c r="J230" s="55">
        <v>104.749</v>
      </c>
      <c r="K230" s="55">
        <v>110.502</v>
      </c>
      <c r="L230" s="55">
        <v>105.662</v>
      </c>
      <c r="M230" s="55">
        <v>101.187</v>
      </c>
      <c r="N230" s="56"/>
    </row>
    <row r="231" ht="15.75" customHeight="1">
      <c r="A231" s="10">
        <v>38353.0</v>
      </c>
      <c r="B231" s="55">
        <v>103.809</v>
      </c>
      <c r="C231" s="55">
        <v>17.0</v>
      </c>
      <c r="D231" s="55">
        <v>32.0</v>
      </c>
      <c r="E231" s="55">
        <v>3.0</v>
      </c>
      <c r="F231" s="55">
        <v>23.0</v>
      </c>
      <c r="G231" s="55">
        <v>30.0</v>
      </c>
      <c r="H231" s="55">
        <v>21.0</v>
      </c>
      <c r="I231" s="55">
        <v>104.932</v>
      </c>
      <c r="J231" s="55">
        <v>104.018</v>
      </c>
      <c r="K231" s="55">
        <v>108.676</v>
      </c>
      <c r="L231" s="55">
        <v>106.484</v>
      </c>
      <c r="M231" s="55">
        <v>102.557</v>
      </c>
      <c r="N231" s="56"/>
    </row>
    <row r="232" ht="15.75" customHeight="1">
      <c r="A232" s="10">
        <v>38384.0</v>
      </c>
      <c r="B232" s="55">
        <v>103.015</v>
      </c>
      <c r="C232" s="55">
        <v>13.0</v>
      </c>
      <c r="D232" s="55">
        <v>34.0</v>
      </c>
      <c r="E232" s="55">
        <v>7.0</v>
      </c>
      <c r="F232" s="55">
        <v>22.0</v>
      </c>
      <c r="G232" s="55">
        <v>28.0</v>
      </c>
      <c r="H232" s="55">
        <v>20.8</v>
      </c>
      <c r="I232" s="55">
        <v>104.292</v>
      </c>
      <c r="J232" s="55">
        <v>109.863</v>
      </c>
      <c r="K232" s="55">
        <v>106.027</v>
      </c>
      <c r="L232" s="55">
        <v>101.461</v>
      </c>
      <c r="M232" s="55">
        <v>101.096</v>
      </c>
      <c r="N232" s="56"/>
    </row>
    <row r="233" ht="15.75" customHeight="1">
      <c r="A233" s="10">
        <v>38412.0</v>
      </c>
      <c r="B233" s="55">
        <v>99.4628</v>
      </c>
      <c r="C233" s="55">
        <v>12.0</v>
      </c>
      <c r="D233" s="55">
        <v>31.0</v>
      </c>
      <c r="E233" s="55">
        <v>3.0</v>
      </c>
      <c r="F233" s="55">
        <v>7.0</v>
      </c>
      <c r="G233" s="55">
        <v>23.0</v>
      </c>
      <c r="H233" s="55">
        <v>15.2</v>
      </c>
      <c r="I233" s="55">
        <v>101.279</v>
      </c>
      <c r="J233" s="55">
        <v>107.215</v>
      </c>
      <c r="K233" s="55">
        <v>99.269</v>
      </c>
      <c r="L233" s="55">
        <v>98.813</v>
      </c>
      <c r="M233" s="55">
        <v>95.799</v>
      </c>
      <c r="N233" s="56"/>
    </row>
    <row r="234" ht="15.75" customHeight="1">
      <c r="A234" s="10">
        <v>38443.0</v>
      </c>
      <c r="B234" s="55">
        <v>100.403</v>
      </c>
      <c r="C234" s="55">
        <v>16.0</v>
      </c>
      <c r="D234" s="55">
        <v>33.0</v>
      </c>
      <c r="E234" s="55">
        <v>4.0</v>
      </c>
      <c r="F234" s="55">
        <v>4.0</v>
      </c>
      <c r="G234" s="55">
        <v>25.0</v>
      </c>
      <c r="H234" s="55">
        <v>16.4</v>
      </c>
      <c r="I234" s="55">
        <v>102.922</v>
      </c>
      <c r="J234" s="55">
        <v>105.388</v>
      </c>
      <c r="K234" s="55">
        <v>104.749</v>
      </c>
      <c r="L234" s="55">
        <v>98.265</v>
      </c>
      <c r="M234" s="55">
        <v>97.352</v>
      </c>
      <c r="N234" s="56"/>
    </row>
    <row r="235" ht="15.75" customHeight="1">
      <c r="A235" s="10">
        <v>38473.0</v>
      </c>
      <c r="B235" s="55">
        <v>101.289</v>
      </c>
      <c r="C235" s="55">
        <v>13.0</v>
      </c>
      <c r="D235" s="55">
        <v>34.0</v>
      </c>
      <c r="E235" s="55">
        <v>2.0</v>
      </c>
      <c r="F235" s="55">
        <v>17.0</v>
      </c>
      <c r="G235" s="55">
        <v>21.0</v>
      </c>
      <c r="H235" s="55">
        <v>17.4</v>
      </c>
      <c r="I235" s="55">
        <v>103.927</v>
      </c>
      <c r="J235" s="55">
        <v>104.932</v>
      </c>
      <c r="K235" s="55">
        <v>104.749</v>
      </c>
      <c r="L235" s="55">
        <v>98.995</v>
      </c>
      <c r="M235" s="55">
        <v>99.543</v>
      </c>
      <c r="N235" s="56"/>
    </row>
    <row r="236" ht="15.75" customHeight="1">
      <c r="A236" s="10">
        <v>38504.0</v>
      </c>
      <c r="B236" s="55">
        <v>101.39</v>
      </c>
      <c r="C236" s="55">
        <v>14.0</v>
      </c>
      <c r="D236" s="55">
        <v>31.0</v>
      </c>
      <c r="E236" s="55">
        <v>3.0</v>
      </c>
      <c r="F236" s="55">
        <v>12.0</v>
      </c>
      <c r="G236" s="55">
        <v>25.0</v>
      </c>
      <c r="H236" s="55">
        <v>17.0</v>
      </c>
      <c r="I236" s="55">
        <v>103.288</v>
      </c>
      <c r="J236" s="55">
        <v>104.475</v>
      </c>
      <c r="K236" s="55">
        <v>103.653</v>
      </c>
      <c r="L236" s="55">
        <v>100.0</v>
      </c>
      <c r="M236" s="55">
        <v>99.361</v>
      </c>
      <c r="N236" s="56"/>
    </row>
    <row r="237" ht="15.75" customHeight="1">
      <c r="A237" s="10">
        <v>38534.0</v>
      </c>
      <c r="B237" s="55">
        <v>100.732</v>
      </c>
      <c r="C237" s="55">
        <v>15.0</v>
      </c>
      <c r="D237" s="55">
        <v>32.0</v>
      </c>
      <c r="E237" s="55">
        <v>2.0</v>
      </c>
      <c r="F237" s="55">
        <v>6.0</v>
      </c>
      <c r="G237" s="55">
        <v>27.0</v>
      </c>
      <c r="H237" s="55">
        <v>16.4</v>
      </c>
      <c r="I237" s="55">
        <v>105.753</v>
      </c>
      <c r="J237" s="55">
        <v>103.836</v>
      </c>
      <c r="K237" s="55">
        <v>103.379</v>
      </c>
      <c r="L237" s="55">
        <v>106.119</v>
      </c>
      <c r="M237" s="55">
        <v>95.616</v>
      </c>
      <c r="N237" s="56"/>
    </row>
    <row r="238" ht="15.75" customHeight="1">
      <c r="A238" s="10">
        <v>38565.0</v>
      </c>
      <c r="B238" s="55">
        <v>99.9559</v>
      </c>
      <c r="C238" s="55">
        <v>17.0</v>
      </c>
      <c r="D238" s="55">
        <v>33.0</v>
      </c>
      <c r="E238" s="55">
        <v>4.0</v>
      </c>
      <c r="F238" s="55">
        <v>1.0</v>
      </c>
      <c r="G238" s="55">
        <v>18.0</v>
      </c>
      <c r="H238" s="55">
        <v>14.6</v>
      </c>
      <c r="I238" s="55">
        <v>104.201</v>
      </c>
      <c r="J238" s="55">
        <v>99.543</v>
      </c>
      <c r="K238" s="55">
        <v>107.763</v>
      </c>
      <c r="L238" s="55">
        <v>102.1</v>
      </c>
      <c r="M238" s="55">
        <v>95.16</v>
      </c>
      <c r="N238" s="56"/>
    </row>
    <row r="239" ht="15.75" customHeight="1">
      <c r="A239" s="10">
        <v>38596.0</v>
      </c>
      <c r="B239" s="55">
        <v>103.691</v>
      </c>
      <c r="C239" s="55">
        <v>17.0</v>
      </c>
      <c r="D239" s="55">
        <v>30.0</v>
      </c>
      <c r="E239" s="55">
        <v>5.0</v>
      </c>
      <c r="F239" s="55">
        <v>12.0</v>
      </c>
      <c r="G239" s="55">
        <v>39.0</v>
      </c>
      <c r="H239" s="55">
        <v>20.6</v>
      </c>
      <c r="I239" s="55">
        <v>107.489</v>
      </c>
      <c r="J239" s="55">
        <v>105.753</v>
      </c>
      <c r="K239" s="55">
        <v>105.845</v>
      </c>
      <c r="L239" s="55">
        <v>101.826</v>
      </c>
      <c r="M239" s="55">
        <v>101.735</v>
      </c>
      <c r="N239" s="56"/>
    </row>
    <row r="240" ht="15.75" customHeight="1">
      <c r="A240" s="10">
        <v>38626.0</v>
      </c>
      <c r="B240" s="55">
        <v>100.915</v>
      </c>
      <c r="C240" s="55">
        <v>12.0</v>
      </c>
      <c r="D240" s="55">
        <v>34.0</v>
      </c>
      <c r="E240" s="55">
        <v>7.0</v>
      </c>
      <c r="F240" s="55">
        <v>7.0</v>
      </c>
      <c r="G240" s="55">
        <v>22.0</v>
      </c>
      <c r="H240" s="55">
        <v>16.4</v>
      </c>
      <c r="I240" s="55">
        <v>102.374</v>
      </c>
      <c r="J240" s="55">
        <v>100.274</v>
      </c>
      <c r="K240" s="55">
        <v>107.854</v>
      </c>
      <c r="L240" s="55">
        <v>101.096</v>
      </c>
      <c r="M240" s="55">
        <v>97.626</v>
      </c>
      <c r="N240" s="56"/>
    </row>
    <row r="241" ht="15.75" customHeight="1">
      <c r="A241" s="10">
        <v>38657.0</v>
      </c>
      <c r="B241" s="55">
        <v>101.307</v>
      </c>
      <c r="C241" s="55">
        <v>14.0</v>
      </c>
      <c r="D241" s="55">
        <v>32.0</v>
      </c>
      <c r="E241" s="55">
        <v>9.0</v>
      </c>
      <c r="F241" s="55">
        <v>10.0</v>
      </c>
      <c r="G241" s="55">
        <v>19.0</v>
      </c>
      <c r="H241" s="55">
        <v>16.8</v>
      </c>
      <c r="I241" s="55">
        <v>103.196</v>
      </c>
      <c r="J241" s="55">
        <v>109.224</v>
      </c>
      <c r="K241" s="55">
        <v>104.749</v>
      </c>
      <c r="L241" s="55">
        <v>101.644</v>
      </c>
      <c r="M241" s="55">
        <v>99.361</v>
      </c>
      <c r="N241" s="56"/>
    </row>
    <row r="242" ht="15.75" customHeight="1">
      <c r="A242" s="10">
        <v>38687.0</v>
      </c>
      <c r="B242" s="55">
        <v>100.924</v>
      </c>
      <c r="C242" s="55">
        <v>16.0</v>
      </c>
      <c r="D242" s="55">
        <v>31.0</v>
      </c>
      <c r="E242" s="55">
        <v>6.0</v>
      </c>
      <c r="F242" s="55">
        <v>6.0</v>
      </c>
      <c r="G242" s="55">
        <v>21.0</v>
      </c>
      <c r="H242" s="55">
        <v>16.0</v>
      </c>
      <c r="I242" s="55">
        <v>100.822</v>
      </c>
      <c r="J242" s="55">
        <v>102.009</v>
      </c>
      <c r="K242" s="55">
        <v>101.005</v>
      </c>
      <c r="L242" s="55">
        <v>104.018</v>
      </c>
      <c r="M242" s="55">
        <v>100.183</v>
      </c>
      <c r="N242" s="56"/>
    </row>
    <row r="243" ht="15.75" customHeight="1">
      <c r="A243" s="10">
        <v>38718.0</v>
      </c>
      <c r="B243" s="55">
        <v>101.618</v>
      </c>
      <c r="C243" s="55">
        <v>17.0</v>
      </c>
      <c r="D243" s="55">
        <v>34.0</v>
      </c>
      <c r="E243" s="55">
        <v>8.0</v>
      </c>
      <c r="F243" s="55">
        <v>6.0</v>
      </c>
      <c r="G243" s="55">
        <v>26.0</v>
      </c>
      <c r="H243" s="55">
        <v>18.2</v>
      </c>
      <c r="I243" s="55">
        <v>102.009</v>
      </c>
      <c r="J243" s="55">
        <v>104.749</v>
      </c>
      <c r="K243" s="55">
        <v>96.073</v>
      </c>
      <c r="L243" s="55">
        <v>102.74</v>
      </c>
      <c r="M243" s="55">
        <v>99.543</v>
      </c>
      <c r="N243" s="56"/>
    </row>
    <row r="244" ht="15.75" customHeight="1">
      <c r="A244" s="10">
        <v>38749.0</v>
      </c>
      <c r="B244" s="55">
        <v>98.5404</v>
      </c>
      <c r="C244" s="55">
        <v>12.0</v>
      </c>
      <c r="D244" s="55">
        <v>29.0</v>
      </c>
      <c r="E244" s="55">
        <v>4.0</v>
      </c>
      <c r="F244" s="55">
        <v>1.0</v>
      </c>
      <c r="G244" s="55">
        <v>14.0</v>
      </c>
      <c r="H244" s="55">
        <v>12.0</v>
      </c>
      <c r="I244" s="55">
        <v>98.721</v>
      </c>
      <c r="J244" s="55">
        <v>102.922</v>
      </c>
      <c r="K244" s="55">
        <v>101.461</v>
      </c>
      <c r="L244" s="55">
        <v>102.74</v>
      </c>
      <c r="M244" s="55">
        <v>97.717</v>
      </c>
      <c r="N244" s="56"/>
    </row>
    <row r="245" ht="15.75" customHeight="1">
      <c r="A245" s="10">
        <v>38777.0</v>
      </c>
      <c r="B245" s="55">
        <v>99.7367</v>
      </c>
      <c r="C245" s="55">
        <v>17.0</v>
      </c>
      <c r="D245" s="55">
        <v>32.0</v>
      </c>
      <c r="E245" s="55">
        <v>1.0</v>
      </c>
      <c r="F245" s="55">
        <v>-1.0</v>
      </c>
      <c r="G245" s="55">
        <v>21.0</v>
      </c>
      <c r="H245" s="55">
        <v>14.0</v>
      </c>
      <c r="I245" s="55">
        <v>101.279</v>
      </c>
      <c r="J245" s="55">
        <v>104.932</v>
      </c>
      <c r="K245" s="55">
        <v>104.018</v>
      </c>
      <c r="L245" s="55">
        <v>101.553</v>
      </c>
      <c r="M245" s="55">
        <v>97.26</v>
      </c>
      <c r="N245" s="56"/>
    </row>
    <row r="246" ht="15.75" customHeight="1">
      <c r="A246" s="10">
        <v>38808.0</v>
      </c>
      <c r="B246" s="55">
        <v>98.1204</v>
      </c>
      <c r="C246" s="55">
        <v>15.0</v>
      </c>
      <c r="D246" s="55">
        <v>28.0</v>
      </c>
      <c r="E246" s="55">
        <v>2.0</v>
      </c>
      <c r="F246" s="55">
        <v>-11.0</v>
      </c>
      <c r="G246" s="55">
        <v>20.0</v>
      </c>
      <c r="H246" s="55">
        <v>10.8</v>
      </c>
      <c r="I246" s="55">
        <v>99.087</v>
      </c>
      <c r="J246" s="55">
        <v>98.904</v>
      </c>
      <c r="K246" s="55">
        <v>114.521</v>
      </c>
      <c r="L246" s="55">
        <v>102.922</v>
      </c>
      <c r="M246" s="55">
        <v>94.703</v>
      </c>
      <c r="N246" s="56"/>
    </row>
    <row r="247" ht="15.75" customHeight="1">
      <c r="A247" s="10">
        <v>38838.0</v>
      </c>
      <c r="B247" s="55">
        <v>97.1798</v>
      </c>
      <c r="C247" s="55">
        <v>9.0</v>
      </c>
      <c r="D247" s="55">
        <v>28.0</v>
      </c>
      <c r="E247" s="55">
        <v>0.0</v>
      </c>
      <c r="F247" s="55">
        <v>-7.0</v>
      </c>
      <c r="G247" s="55">
        <v>15.0</v>
      </c>
      <c r="H247" s="55">
        <v>9.0</v>
      </c>
      <c r="I247" s="55">
        <v>95.525</v>
      </c>
      <c r="J247" s="55">
        <v>97.443</v>
      </c>
      <c r="K247" s="55">
        <v>96.347</v>
      </c>
      <c r="L247" s="55">
        <v>102.466</v>
      </c>
      <c r="M247" s="55">
        <v>97.534</v>
      </c>
      <c r="N247" s="56"/>
    </row>
    <row r="248" ht="15.75" customHeight="1">
      <c r="A248" s="10">
        <v>38869.0</v>
      </c>
      <c r="B248" s="55">
        <v>98.3761</v>
      </c>
      <c r="C248" s="55">
        <v>15.0</v>
      </c>
      <c r="D248" s="55">
        <v>33.0</v>
      </c>
      <c r="E248" s="55">
        <v>1.0</v>
      </c>
      <c r="F248" s="55">
        <v>-6.0</v>
      </c>
      <c r="G248" s="55">
        <v>19.0</v>
      </c>
      <c r="H248" s="55">
        <v>12.4</v>
      </c>
      <c r="I248" s="55">
        <v>97.808</v>
      </c>
      <c r="J248" s="55">
        <v>104.384</v>
      </c>
      <c r="K248" s="55">
        <v>96.895</v>
      </c>
      <c r="L248" s="55">
        <v>100.0</v>
      </c>
      <c r="M248" s="55">
        <v>95.799</v>
      </c>
      <c r="N248" s="56"/>
    </row>
    <row r="249" ht="15.75" customHeight="1">
      <c r="A249" s="10">
        <v>38899.0</v>
      </c>
      <c r="B249" s="55">
        <v>95.7096</v>
      </c>
      <c r="C249" s="55">
        <v>15.0</v>
      </c>
      <c r="D249" s="55">
        <v>29.0</v>
      </c>
      <c r="E249" s="55">
        <v>-1.0</v>
      </c>
      <c r="F249" s="55">
        <v>-9.0</v>
      </c>
      <c r="G249" s="55">
        <v>11.0</v>
      </c>
      <c r="H249" s="55">
        <v>9.0</v>
      </c>
      <c r="I249" s="55">
        <v>100.365</v>
      </c>
      <c r="J249" s="55">
        <v>96.895</v>
      </c>
      <c r="K249" s="55">
        <v>98.813</v>
      </c>
      <c r="L249" s="55">
        <v>94.247</v>
      </c>
      <c r="M249" s="55">
        <v>93.425</v>
      </c>
      <c r="N249" s="56"/>
    </row>
    <row r="250" ht="15.75" customHeight="1">
      <c r="A250" s="10">
        <v>38930.0</v>
      </c>
      <c r="B250" s="55">
        <v>99.408</v>
      </c>
      <c r="C250" s="55">
        <v>17.0</v>
      </c>
      <c r="D250" s="55">
        <v>32.0</v>
      </c>
      <c r="E250" s="55">
        <v>-1.0</v>
      </c>
      <c r="F250" s="55">
        <v>0.0</v>
      </c>
      <c r="G250" s="55">
        <v>18.0</v>
      </c>
      <c r="H250" s="55">
        <v>13.2</v>
      </c>
      <c r="I250" s="55">
        <v>102.283</v>
      </c>
      <c r="J250" s="55">
        <v>101.187</v>
      </c>
      <c r="K250" s="55">
        <v>97.169</v>
      </c>
      <c r="L250" s="55">
        <v>96.986</v>
      </c>
      <c r="M250" s="55">
        <v>95.799</v>
      </c>
      <c r="N250" s="56"/>
    </row>
    <row r="251" ht="15.75" customHeight="1">
      <c r="A251" s="10">
        <v>38961.0</v>
      </c>
      <c r="B251" s="55">
        <v>100.677</v>
      </c>
      <c r="C251" s="55">
        <v>16.0</v>
      </c>
      <c r="D251" s="55">
        <v>32.0</v>
      </c>
      <c r="E251" s="55">
        <v>3.0</v>
      </c>
      <c r="F251" s="55">
        <v>9.0</v>
      </c>
      <c r="G251" s="55">
        <v>18.0</v>
      </c>
      <c r="H251" s="55">
        <v>15.6</v>
      </c>
      <c r="I251" s="55">
        <v>102.557</v>
      </c>
      <c r="J251" s="55">
        <v>104.749</v>
      </c>
      <c r="K251" s="55">
        <v>102.374</v>
      </c>
      <c r="L251" s="55">
        <v>101.735</v>
      </c>
      <c r="M251" s="55">
        <v>98.721</v>
      </c>
      <c r="N251" s="56"/>
    </row>
    <row r="252" ht="15.75" customHeight="1">
      <c r="A252" s="10">
        <v>38991.0</v>
      </c>
      <c r="B252" s="55">
        <v>99.4536</v>
      </c>
      <c r="C252" s="55">
        <v>18.0</v>
      </c>
      <c r="D252" s="55">
        <v>31.0</v>
      </c>
      <c r="E252" s="55">
        <v>-1.0</v>
      </c>
      <c r="F252" s="55">
        <v>7.0</v>
      </c>
      <c r="G252" s="55">
        <v>20.0</v>
      </c>
      <c r="H252" s="55">
        <v>15.0</v>
      </c>
      <c r="I252" s="55">
        <v>100.365</v>
      </c>
      <c r="J252" s="55">
        <v>100.274</v>
      </c>
      <c r="K252" s="55">
        <v>96.347</v>
      </c>
      <c r="L252" s="55">
        <v>96.347</v>
      </c>
      <c r="M252" s="55">
        <v>99.452</v>
      </c>
      <c r="N252" s="56"/>
    </row>
    <row r="253" ht="15.75" customHeight="1">
      <c r="A253" s="10">
        <v>39022.0</v>
      </c>
      <c r="B253" s="55">
        <v>96.4675</v>
      </c>
      <c r="C253" s="55">
        <v>9.0</v>
      </c>
      <c r="D253" s="55">
        <v>25.0</v>
      </c>
      <c r="E253" s="55">
        <v>0.0</v>
      </c>
      <c r="F253" s="55">
        <v>-6.0</v>
      </c>
      <c r="G253" s="55">
        <v>16.0</v>
      </c>
      <c r="H253" s="55">
        <v>8.8</v>
      </c>
      <c r="I253" s="55">
        <v>97.169</v>
      </c>
      <c r="J253" s="55">
        <v>102.283</v>
      </c>
      <c r="K253" s="55">
        <v>88.311</v>
      </c>
      <c r="L253" s="55">
        <v>95.342</v>
      </c>
      <c r="M253" s="55">
        <v>94.521</v>
      </c>
      <c r="N253" s="56"/>
    </row>
    <row r="254" ht="15.75" customHeight="1">
      <c r="A254" s="10">
        <v>39052.0</v>
      </c>
      <c r="B254" s="55">
        <v>98.7322</v>
      </c>
      <c r="C254" s="55">
        <v>16.0</v>
      </c>
      <c r="D254" s="55">
        <v>29.0</v>
      </c>
      <c r="E254" s="55">
        <v>3.0</v>
      </c>
      <c r="F254" s="55">
        <v>-1.0</v>
      </c>
      <c r="G254" s="55">
        <v>19.0</v>
      </c>
      <c r="H254" s="55">
        <v>13.2</v>
      </c>
      <c r="I254" s="55">
        <v>100.457</v>
      </c>
      <c r="J254" s="55">
        <v>99.087</v>
      </c>
      <c r="K254" s="55">
        <v>100.365</v>
      </c>
      <c r="L254" s="55">
        <v>98.904</v>
      </c>
      <c r="M254" s="55">
        <v>96.712</v>
      </c>
      <c r="N254" s="56"/>
    </row>
    <row r="255" ht="15.75" customHeight="1">
      <c r="A255" s="10">
        <v>39083.0</v>
      </c>
      <c r="B255" s="55">
        <v>98.3304</v>
      </c>
      <c r="C255" s="55">
        <v>14.0</v>
      </c>
      <c r="D255" s="55">
        <v>29.0</v>
      </c>
      <c r="E255" s="55">
        <v>4.0</v>
      </c>
      <c r="F255" s="55">
        <v>1.0</v>
      </c>
      <c r="G255" s="55">
        <v>15.0</v>
      </c>
      <c r="H255" s="55">
        <v>12.6</v>
      </c>
      <c r="I255" s="55">
        <v>99.909</v>
      </c>
      <c r="J255" s="55">
        <v>101.553</v>
      </c>
      <c r="K255" s="55">
        <v>98.63</v>
      </c>
      <c r="L255" s="55">
        <v>97.26</v>
      </c>
      <c r="M255" s="55">
        <v>95.616</v>
      </c>
      <c r="N255" s="56"/>
    </row>
    <row r="256" ht="15.75" customHeight="1">
      <c r="A256" s="10">
        <v>39114.0</v>
      </c>
      <c r="B256" s="55">
        <v>97.8099</v>
      </c>
      <c r="C256" s="55">
        <v>15.0</v>
      </c>
      <c r="D256" s="55">
        <v>31.0</v>
      </c>
      <c r="E256" s="55">
        <v>4.0</v>
      </c>
      <c r="F256" s="55">
        <v>-1.0</v>
      </c>
      <c r="G256" s="55">
        <v>16.0</v>
      </c>
      <c r="H256" s="55">
        <v>13.0</v>
      </c>
      <c r="I256" s="55">
        <v>96.804</v>
      </c>
      <c r="J256" s="55">
        <v>98.904</v>
      </c>
      <c r="K256" s="55">
        <v>100.731</v>
      </c>
      <c r="L256" s="55">
        <v>96.895</v>
      </c>
      <c r="M256" s="55">
        <v>96.256</v>
      </c>
      <c r="N256" s="56"/>
    </row>
    <row r="257" ht="15.75" customHeight="1">
      <c r="A257" s="10">
        <v>39142.0</v>
      </c>
      <c r="B257" s="55">
        <v>96.4493</v>
      </c>
      <c r="C257" s="55">
        <v>14.0</v>
      </c>
      <c r="D257" s="55">
        <v>28.0</v>
      </c>
      <c r="E257" s="55">
        <v>2.0</v>
      </c>
      <c r="F257" s="55">
        <v>-6.0</v>
      </c>
      <c r="G257" s="55">
        <v>14.0</v>
      </c>
      <c r="H257" s="55">
        <v>10.4</v>
      </c>
      <c r="I257" s="55">
        <v>98.539</v>
      </c>
      <c r="J257" s="55">
        <v>97.534</v>
      </c>
      <c r="K257" s="55">
        <v>98.63</v>
      </c>
      <c r="L257" s="55">
        <v>99.543</v>
      </c>
      <c r="M257" s="55">
        <v>93.607</v>
      </c>
      <c r="N257" s="56"/>
    </row>
    <row r="258" ht="15.75" customHeight="1">
      <c r="A258" s="10">
        <v>39173.0</v>
      </c>
      <c r="B258" s="55">
        <v>96.7506</v>
      </c>
      <c r="C258" s="55">
        <v>14.0</v>
      </c>
      <c r="D258" s="55">
        <v>29.0</v>
      </c>
      <c r="E258" s="55">
        <v>-1.0</v>
      </c>
      <c r="F258" s="55">
        <v>-4.0</v>
      </c>
      <c r="G258" s="55">
        <v>16.0</v>
      </c>
      <c r="H258" s="55">
        <v>10.8</v>
      </c>
      <c r="I258" s="55">
        <v>95.068</v>
      </c>
      <c r="J258" s="55">
        <v>100.731</v>
      </c>
      <c r="K258" s="55">
        <v>100.091</v>
      </c>
      <c r="L258" s="55">
        <v>97.352</v>
      </c>
      <c r="M258" s="55">
        <v>94.521</v>
      </c>
      <c r="N258" s="56"/>
    </row>
    <row r="259" ht="15.75" customHeight="1">
      <c r="A259" s="10">
        <v>39203.0</v>
      </c>
      <c r="B259" s="55">
        <v>96.4493</v>
      </c>
      <c r="C259" s="55">
        <v>12.0</v>
      </c>
      <c r="D259" s="55">
        <v>29.0</v>
      </c>
      <c r="E259" s="55">
        <v>-3.0</v>
      </c>
      <c r="F259" s="55">
        <v>-4.0</v>
      </c>
      <c r="G259" s="55">
        <v>13.0</v>
      </c>
      <c r="H259" s="55">
        <v>9.4</v>
      </c>
      <c r="I259" s="55">
        <v>95.799</v>
      </c>
      <c r="J259" s="55">
        <v>99.361</v>
      </c>
      <c r="K259" s="55">
        <v>94.703</v>
      </c>
      <c r="L259" s="55">
        <v>98.721</v>
      </c>
      <c r="M259" s="55">
        <v>93.79</v>
      </c>
      <c r="N259" s="56"/>
    </row>
    <row r="260" ht="15.75" customHeight="1">
      <c r="A260" s="10">
        <v>39234.0</v>
      </c>
      <c r="B260" s="55">
        <v>97.9195</v>
      </c>
      <c r="C260" s="55">
        <v>13.0</v>
      </c>
      <c r="D260" s="55">
        <v>29.0</v>
      </c>
      <c r="E260" s="55">
        <v>2.0</v>
      </c>
      <c r="F260" s="55">
        <v>-1.0</v>
      </c>
      <c r="G260" s="55">
        <v>15.0</v>
      </c>
      <c r="H260" s="55">
        <v>11.6</v>
      </c>
      <c r="I260" s="55">
        <v>97.717</v>
      </c>
      <c r="J260" s="55">
        <v>100.822</v>
      </c>
      <c r="K260" s="55">
        <v>97.9</v>
      </c>
      <c r="L260" s="55">
        <v>101.096</v>
      </c>
      <c r="M260" s="55">
        <v>94.612</v>
      </c>
      <c r="N260" s="56"/>
    </row>
    <row r="261" ht="15.75" customHeight="1">
      <c r="A261" s="10">
        <v>39264.0</v>
      </c>
      <c r="B261" s="55">
        <v>96.1662</v>
      </c>
      <c r="C261" s="55">
        <v>13.0</v>
      </c>
      <c r="D261" s="55">
        <v>28.0</v>
      </c>
      <c r="E261" s="55">
        <v>-4.0</v>
      </c>
      <c r="F261" s="55">
        <v>-1.0</v>
      </c>
      <c r="G261" s="55">
        <v>14.0</v>
      </c>
      <c r="H261" s="55">
        <v>10.0</v>
      </c>
      <c r="I261" s="55">
        <v>94.155</v>
      </c>
      <c r="J261" s="55">
        <v>105.388</v>
      </c>
      <c r="K261" s="55">
        <v>99.178</v>
      </c>
      <c r="L261" s="55">
        <v>94.886</v>
      </c>
      <c r="M261" s="55">
        <v>92.694</v>
      </c>
      <c r="N261" s="56"/>
    </row>
    <row r="262" ht="15.75" customHeight="1">
      <c r="A262" s="10">
        <v>39295.0</v>
      </c>
      <c r="B262" s="55">
        <v>97.2163</v>
      </c>
      <c r="C262" s="55">
        <v>14.0</v>
      </c>
      <c r="D262" s="55">
        <v>31.0</v>
      </c>
      <c r="E262" s="55">
        <v>0.0</v>
      </c>
      <c r="F262" s="55">
        <v>0.0</v>
      </c>
      <c r="G262" s="55">
        <v>15.0</v>
      </c>
      <c r="H262" s="55">
        <v>12.0</v>
      </c>
      <c r="I262" s="55">
        <v>99.817</v>
      </c>
      <c r="J262" s="55">
        <v>99.178</v>
      </c>
      <c r="K262" s="55">
        <v>94.886</v>
      </c>
      <c r="L262" s="55">
        <v>93.881</v>
      </c>
      <c r="M262" s="55">
        <v>93.516</v>
      </c>
      <c r="N262" s="56"/>
    </row>
    <row r="263" ht="15.75" customHeight="1">
      <c r="A263" s="10">
        <v>39326.0</v>
      </c>
      <c r="B263" s="55">
        <v>96.1114</v>
      </c>
      <c r="C263" s="55">
        <v>11.0</v>
      </c>
      <c r="D263" s="55">
        <v>28.0</v>
      </c>
      <c r="E263" s="55">
        <v>0.0</v>
      </c>
      <c r="F263" s="55">
        <v>-4.0</v>
      </c>
      <c r="G263" s="55">
        <v>14.0</v>
      </c>
      <c r="H263" s="55">
        <v>9.8</v>
      </c>
      <c r="I263" s="55">
        <v>95.616</v>
      </c>
      <c r="J263" s="55">
        <v>96.804</v>
      </c>
      <c r="K263" s="55">
        <v>95.251</v>
      </c>
      <c r="L263" s="55">
        <v>96.438</v>
      </c>
      <c r="M263" s="55">
        <v>93.79</v>
      </c>
      <c r="N263" s="56"/>
    </row>
    <row r="264" ht="15.75" customHeight="1">
      <c r="A264" s="10">
        <v>39356.0</v>
      </c>
      <c r="B264" s="55">
        <v>94.1572</v>
      </c>
      <c r="C264" s="55">
        <v>10.0</v>
      </c>
      <c r="D264" s="55">
        <v>27.0</v>
      </c>
      <c r="E264" s="55">
        <v>1.0</v>
      </c>
      <c r="F264" s="55">
        <v>-14.0</v>
      </c>
      <c r="G264" s="55">
        <v>7.0</v>
      </c>
      <c r="H264" s="55">
        <v>6.2</v>
      </c>
      <c r="I264" s="55">
        <v>95.982</v>
      </c>
      <c r="J264" s="55">
        <v>96.621</v>
      </c>
      <c r="K264" s="55">
        <v>86.575</v>
      </c>
      <c r="L264" s="55">
        <v>95.525</v>
      </c>
      <c r="M264" s="55">
        <v>90.137</v>
      </c>
      <c r="N264" s="56"/>
    </row>
    <row r="265" ht="15.75" customHeight="1">
      <c r="A265" s="10">
        <v>39387.0</v>
      </c>
      <c r="B265" s="55">
        <v>94.5499</v>
      </c>
      <c r="C265" s="55">
        <v>10.0</v>
      </c>
      <c r="D265" s="55">
        <v>29.0</v>
      </c>
      <c r="E265" s="55">
        <v>-3.0</v>
      </c>
      <c r="F265" s="55">
        <v>-12.0</v>
      </c>
      <c r="G265" s="55">
        <v>4.0</v>
      </c>
      <c r="H265" s="55">
        <v>5.6</v>
      </c>
      <c r="I265" s="55">
        <v>91.324</v>
      </c>
      <c r="J265" s="55">
        <v>97.626</v>
      </c>
      <c r="K265" s="55">
        <v>92.055</v>
      </c>
      <c r="L265" s="55">
        <v>99.452</v>
      </c>
      <c r="M265" s="55">
        <v>91.598</v>
      </c>
      <c r="N265" s="56"/>
    </row>
    <row r="266" ht="15.75" customHeight="1">
      <c r="A266" s="10">
        <v>39417.0</v>
      </c>
      <c r="B266" s="55">
        <v>91.6095</v>
      </c>
      <c r="C266" s="55">
        <v>8.0</v>
      </c>
      <c r="D266" s="55">
        <v>24.0</v>
      </c>
      <c r="E266" s="55">
        <v>-3.0</v>
      </c>
      <c r="F266" s="55">
        <v>-22.0</v>
      </c>
      <c r="G266" s="55">
        <v>1.0</v>
      </c>
      <c r="H266" s="55">
        <v>1.6</v>
      </c>
      <c r="I266" s="55">
        <v>88.95</v>
      </c>
      <c r="J266" s="55">
        <v>93.151</v>
      </c>
      <c r="K266" s="55">
        <v>92.146</v>
      </c>
      <c r="L266" s="55">
        <v>89.954</v>
      </c>
      <c r="M266" s="55">
        <v>89.68</v>
      </c>
      <c r="N266" s="56"/>
    </row>
    <row r="267" ht="15.75" customHeight="1">
      <c r="A267" s="10">
        <v>39448.0</v>
      </c>
      <c r="B267" s="55">
        <v>93.034</v>
      </c>
      <c r="C267" s="55">
        <v>12.0</v>
      </c>
      <c r="D267" s="55">
        <v>25.0</v>
      </c>
      <c r="E267" s="55">
        <v>-1.0</v>
      </c>
      <c r="F267" s="55">
        <v>-6.0</v>
      </c>
      <c r="G267" s="55">
        <v>-2.0</v>
      </c>
      <c r="H267" s="55">
        <v>5.6</v>
      </c>
      <c r="I267" s="55">
        <v>91.598</v>
      </c>
      <c r="J267" s="55">
        <v>95.068</v>
      </c>
      <c r="K267" s="55">
        <v>93.425</v>
      </c>
      <c r="L267" s="55">
        <v>94.521</v>
      </c>
      <c r="M267" s="55">
        <v>90.776</v>
      </c>
      <c r="N267" s="56"/>
    </row>
    <row r="268" ht="15.75" customHeight="1">
      <c r="A268" s="10">
        <v>39479.0</v>
      </c>
      <c r="B268" s="55">
        <v>90.1393</v>
      </c>
      <c r="C268" s="55">
        <v>6.0</v>
      </c>
      <c r="D268" s="55">
        <v>23.0</v>
      </c>
      <c r="E268" s="55">
        <v>-1.0</v>
      </c>
      <c r="F268" s="55">
        <v>-17.0</v>
      </c>
      <c r="G268" s="55">
        <v>-1.0</v>
      </c>
      <c r="H268" s="55">
        <v>2.0</v>
      </c>
      <c r="I268" s="55">
        <v>89.498</v>
      </c>
      <c r="J268" s="55">
        <v>95.16</v>
      </c>
      <c r="K268" s="55">
        <v>87.58</v>
      </c>
      <c r="L268" s="55">
        <v>90.685</v>
      </c>
      <c r="M268" s="55">
        <v>87.215</v>
      </c>
      <c r="N268" s="56"/>
    </row>
    <row r="269" ht="15.75" customHeight="1">
      <c r="A269" s="10">
        <v>39508.0</v>
      </c>
      <c r="B269" s="55">
        <v>91.1529</v>
      </c>
      <c r="C269" s="55">
        <v>6.0</v>
      </c>
      <c r="D269" s="55">
        <v>25.0</v>
      </c>
      <c r="E269" s="55">
        <v>-2.0</v>
      </c>
      <c r="F269" s="55">
        <v>-10.0</v>
      </c>
      <c r="G269" s="55">
        <v>-3.0</v>
      </c>
      <c r="H269" s="55">
        <v>3.2</v>
      </c>
      <c r="I269" s="55">
        <v>90.228</v>
      </c>
      <c r="J269" s="55">
        <v>93.699</v>
      </c>
      <c r="K269" s="55">
        <v>89.132</v>
      </c>
      <c r="L269" s="55">
        <v>89.954</v>
      </c>
      <c r="M269" s="55">
        <v>88.676</v>
      </c>
      <c r="N269" s="56"/>
    </row>
    <row r="270" ht="15.75" customHeight="1">
      <c r="A270" s="10">
        <v>39539.0</v>
      </c>
      <c r="B270" s="55">
        <v>88.8973</v>
      </c>
      <c r="C270" s="55">
        <v>3.0</v>
      </c>
      <c r="D270" s="55">
        <v>25.0</v>
      </c>
      <c r="E270" s="55">
        <v>-5.0</v>
      </c>
      <c r="F270" s="55">
        <v>-13.0</v>
      </c>
      <c r="G270" s="55">
        <v>-11.0</v>
      </c>
      <c r="H270" s="55">
        <v>-0.2</v>
      </c>
      <c r="I270" s="55">
        <v>87.215</v>
      </c>
      <c r="J270" s="55">
        <v>91.781</v>
      </c>
      <c r="K270" s="55">
        <v>89.315</v>
      </c>
      <c r="L270" s="55">
        <v>91.142</v>
      </c>
      <c r="M270" s="55">
        <v>85.479</v>
      </c>
      <c r="N270" s="56"/>
    </row>
    <row r="271" ht="15.75" customHeight="1">
      <c r="A271" s="10">
        <v>39569.0</v>
      </c>
      <c r="B271" s="55">
        <v>89.6918</v>
      </c>
      <c r="C271" s="55">
        <v>5.0</v>
      </c>
      <c r="D271" s="55">
        <v>27.0</v>
      </c>
      <c r="E271" s="55">
        <v>-5.0</v>
      </c>
      <c r="F271" s="55">
        <v>-18.0</v>
      </c>
      <c r="G271" s="55">
        <v>-9.0</v>
      </c>
      <c r="H271" s="55">
        <v>0.0</v>
      </c>
      <c r="I271" s="55">
        <v>90.32</v>
      </c>
      <c r="J271" s="55">
        <v>91.872</v>
      </c>
      <c r="K271" s="55">
        <v>85.662</v>
      </c>
      <c r="L271" s="55">
        <v>85.936</v>
      </c>
      <c r="M271" s="55">
        <v>86.027</v>
      </c>
      <c r="N271" s="56"/>
    </row>
    <row r="272" ht="15.75" customHeight="1">
      <c r="A272" s="10">
        <v>39600.0</v>
      </c>
      <c r="B272" s="55">
        <v>88.5138</v>
      </c>
      <c r="C272" s="55">
        <v>5.0</v>
      </c>
      <c r="D272" s="55">
        <v>23.0</v>
      </c>
      <c r="E272" s="55">
        <v>-4.0</v>
      </c>
      <c r="F272" s="55">
        <v>-17.0</v>
      </c>
      <c r="G272" s="55">
        <v>-8.0</v>
      </c>
      <c r="H272" s="55">
        <v>-0.2</v>
      </c>
      <c r="I272" s="55">
        <v>87.671</v>
      </c>
      <c r="J272" s="55">
        <v>91.872</v>
      </c>
      <c r="K272" s="55">
        <v>90.959</v>
      </c>
      <c r="L272" s="55">
        <v>85.571</v>
      </c>
      <c r="M272" s="55">
        <v>85.388</v>
      </c>
      <c r="N272" s="56"/>
    </row>
    <row r="273" ht="15.75" customHeight="1">
      <c r="A273" s="10">
        <v>39630.0</v>
      </c>
      <c r="B273" s="55">
        <v>90.9611</v>
      </c>
      <c r="C273" s="55">
        <v>7.0</v>
      </c>
      <c r="D273" s="55">
        <v>24.0</v>
      </c>
      <c r="E273" s="55">
        <v>-9.0</v>
      </c>
      <c r="F273" s="55">
        <v>3.0</v>
      </c>
      <c r="G273" s="55">
        <v>-5.0</v>
      </c>
      <c r="H273" s="55">
        <v>4.0</v>
      </c>
      <c r="I273" s="55">
        <v>89.132</v>
      </c>
      <c r="J273" s="55">
        <v>94.886</v>
      </c>
      <c r="K273" s="55">
        <v>87.215</v>
      </c>
      <c r="L273" s="55">
        <v>90.228</v>
      </c>
      <c r="M273" s="55">
        <v>87.763</v>
      </c>
      <c r="N273" s="56"/>
    </row>
    <row r="274" ht="15.75" customHeight="1">
      <c r="A274" s="10">
        <v>39661.0</v>
      </c>
      <c r="B274" s="55">
        <v>92.8331</v>
      </c>
      <c r="C274" s="55">
        <v>7.0</v>
      </c>
      <c r="D274" s="55">
        <v>23.0</v>
      </c>
      <c r="E274" s="55">
        <v>-3.0</v>
      </c>
      <c r="F274" s="55">
        <v>12.0</v>
      </c>
      <c r="G274" s="55">
        <v>-1.0</v>
      </c>
      <c r="H274" s="55">
        <v>7.6</v>
      </c>
      <c r="I274" s="55">
        <v>92.055</v>
      </c>
      <c r="J274" s="55">
        <v>95.525</v>
      </c>
      <c r="K274" s="55">
        <v>96.53</v>
      </c>
      <c r="L274" s="55">
        <v>90.776</v>
      </c>
      <c r="M274" s="55">
        <v>90.868</v>
      </c>
      <c r="N274" s="56"/>
    </row>
    <row r="275" ht="15.75" customHeight="1">
      <c r="A275" s="10">
        <v>39692.0</v>
      </c>
      <c r="B275" s="55">
        <v>87.4363</v>
      </c>
      <c r="C275" s="55">
        <v>0.0</v>
      </c>
      <c r="D275" s="55">
        <v>20.0</v>
      </c>
      <c r="E275" s="55">
        <v>-6.0</v>
      </c>
      <c r="F275" s="55">
        <v>-6.0</v>
      </c>
      <c r="G275" s="55">
        <v>-15.0</v>
      </c>
      <c r="H275" s="55">
        <v>-1.4</v>
      </c>
      <c r="I275" s="55">
        <v>86.484</v>
      </c>
      <c r="J275" s="55">
        <v>87.763</v>
      </c>
      <c r="K275" s="55">
        <v>87.123</v>
      </c>
      <c r="L275" s="55">
        <v>87.306</v>
      </c>
      <c r="M275" s="55">
        <v>85.753</v>
      </c>
      <c r="N275" s="56"/>
    </row>
    <row r="276" ht="15.75" customHeight="1">
      <c r="A276" s="10">
        <v>39722.0</v>
      </c>
      <c r="B276" s="55">
        <v>87.4911</v>
      </c>
      <c r="C276" s="55">
        <v>-5.0</v>
      </c>
      <c r="D276" s="55">
        <v>21.0</v>
      </c>
      <c r="E276" s="55">
        <v>-7.0</v>
      </c>
      <c r="F276" s="55">
        <v>-6.0</v>
      </c>
      <c r="G276" s="55">
        <v>-15.0</v>
      </c>
      <c r="H276" s="55">
        <v>-2.4</v>
      </c>
      <c r="I276" s="55">
        <v>90.685</v>
      </c>
      <c r="J276" s="55">
        <v>87.123</v>
      </c>
      <c r="K276" s="55">
        <v>87.397</v>
      </c>
      <c r="L276" s="55">
        <v>83.836</v>
      </c>
      <c r="M276" s="55">
        <v>83.379</v>
      </c>
      <c r="N276" s="56"/>
    </row>
    <row r="277" ht="15.75" customHeight="1">
      <c r="A277" s="10">
        <v>39753.0</v>
      </c>
      <c r="B277" s="55">
        <v>85.1442</v>
      </c>
      <c r="C277" s="55">
        <v>-7.0</v>
      </c>
      <c r="D277" s="55">
        <v>16.0</v>
      </c>
      <c r="E277" s="55">
        <v>-4.0</v>
      </c>
      <c r="F277" s="55">
        <v>-15.0</v>
      </c>
      <c r="G277" s="55">
        <v>-20.0</v>
      </c>
      <c r="H277" s="55">
        <v>-6.0</v>
      </c>
      <c r="I277" s="55">
        <v>82.1</v>
      </c>
      <c r="J277" s="55">
        <v>82.831</v>
      </c>
      <c r="K277" s="55">
        <v>88.493</v>
      </c>
      <c r="L277" s="55">
        <v>88.402</v>
      </c>
      <c r="M277" s="55">
        <v>82.557</v>
      </c>
      <c r="N277" s="56"/>
    </row>
    <row r="278" ht="15.75" customHeight="1">
      <c r="A278" s="10">
        <v>39783.0</v>
      </c>
      <c r="B278" s="55">
        <v>83.9388</v>
      </c>
      <c r="C278" s="55">
        <v>-7.0</v>
      </c>
      <c r="D278" s="55">
        <v>18.0</v>
      </c>
      <c r="E278" s="55">
        <v>-9.0</v>
      </c>
      <c r="F278" s="55">
        <v>-12.0</v>
      </c>
      <c r="G278" s="55">
        <v>-23.0</v>
      </c>
      <c r="H278" s="55">
        <v>-6.6</v>
      </c>
      <c r="I278" s="55">
        <v>81.37</v>
      </c>
      <c r="J278" s="55">
        <v>82.74</v>
      </c>
      <c r="K278" s="55">
        <v>86.941</v>
      </c>
      <c r="L278" s="55">
        <v>79.726</v>
      </c>
      <c r="M278" s="55">
        <v>80.913</v>
      </c>
      <c r="N278" s="56"/>
    </row>
    <row r="279" ht="15.75" customHeight="1">
      <c r="A279" s="10">
        <v>39814.0</v>
      </c>
      <c r="B279" s="55">
        <v>82.7152</v>
      </c>
      <c r="C279" s="55">
        <v>-2.0</v>
      </c>
      <c r="D279" s="55">
        <v>17.0</v>
      </c>
      <c r="E279" s="55">
        <v>-9.0</v>
      </c>
      <c r="F279" s="55">
        <v>-18.0</v>
      </c>
      <c r="G279" s="55">
        <v>-31.0</v>
      </c>
      <c r="H279" s="55">
        <v>-8.6</v>
      </c>
      <c r="I279" s="55">
        <v>81.644</v>
      </c>
      <c r="J279" s="55">
        <v>82.192</v>
      </c>
      <c r="K279" s="55">
        <v>83.744</v>
      </c>
      <c r="L279" s="55">
        <v>76.804</v>
      </c>
      <c r="M279" s="55">
        <v>83.014</v>
      </c>
      <c r="N279" s="56"/>
    </row>
    <row r="280" ht="15.75" customHeight="1">
      <c r="A280" s="10">
        <v>39845.0</v>
      </c>
      <c r="B280" s="55">
        <v>81.5554</v>
      </c>
      <c r="C280" s="55">
        <v>-7.0</v>
      </c>
      <c r="D280" s="55">
        <v>14.0</v>
      </c>
      <c r="E280" s="55">
        <v>-12.0</v>
      </c>
      <c r="F280" s="55">
        <v>-16.0</v>
      </c>
      <c r="G280" s="55">
        <v>-29.0</v>
      </c>
      <c r="H280" s="55">
        <v>-10.0</v>
      </c>
      <c r="I280" s="55">
        <v>79.543</v>
      </c>
      <c r="J280" s="55">
        <v>82.192</v>
      </c>
      <c r="K280" s="55">
        <v>78.813</v>
      </c>
      <c r="L280" s="55">
        <v>81.37</v>
      </c>
      <c r="M280" s="55">
        <v>80.548</v>
      </c>
      <c r="N280" s="56"/>
    </row>
    <row r="281" ht="15.75" customHeight="1">
      <c r="A281" s="10">
        <v>39873.0</v>
      </c>
      <c r="B281" s="55">
        <v>86.4957</v>
      </c>
      <c r="C281" s="55">
        <v>-4.0</v>
      </c>
      <c r="D281" s="55">
        <v>18.0</v>
      </c>
      <c r="E281" s="55">
        <v>-8.0</v>
      </c>
      <c r="F281" s="55">
        <v>4.0</v>
      </c>
      <c r="G281" s="55">
        <v>-11.0</v>
      </c>
      <c r="H281" s="55">
        <v>-0.2</v>
      </c>
      <c r="I281" s="55">
        <v>83.379</v>
      </c>
      <c r="J281" s="55">
        <v>85.023</v>
      </c>
      <c r="K281" s="55">
        <v>88.493</v>
      </c>
      <c r="L281" s="55">
        <v>84.201</v>
      </c>
      <c r="M281" s="55">
        <v>86.119</v>
      </c>
      <c r="N281" s="56"/>
    </row>
    <row r="282" ht="15.75" customHeight="1">
      <c r="A282" s="10">
        <v>39904.0</v>
      </c>
      <c r="B282" s="55">
        <v>88.4408</v>
      </c>
      <c r="C282" s="55">
        <v>-4.0</v>
      </c>
      <c r="D282" s="55">
        <v>20.0</v>
      </c>
      <c r="E282" s="55">
        <v>-4.0</v>
      </c>
      <c r="F282" s="55">
        <v>11.0</v>
      </c>
      <c r="G282" s="55">
        <v>-5.0</v>
      </c>
      <c r="H282" s="55">
        <v>3.6</v>
      </c>
      <c r="I282" s="55">
        <v>85.479</v>
      </c>
      <c r="J282" s="55">
        <v>86.667</v>
      </c>
      <c r="K282" s="55">
        <v>95.251</v>
      </c>
      <c r="L282" s="55">
        <v>91.05</v>
      </c>
      <c r="M282" s="55">
        <v>88.584</v>
      </c>
      <c r="N282" s="56"/>
    </row>
    <row r="283" ht="15.75" customHeight="1">
      <c r="A283" s="10">
        <v>39934.0</v>
      </c>
      <c r="B283" s="55">
        <v>88.322</v>
      </c>
      <c r="C283" s="55">
        <v>-1.0</v>
      </c>
      <c r="D283" s="55">
        <v>18.0</v>
      </c>
      <c r="E283" s="55">
        <v>-6.0</v>
      </c>
      <c r="F283" s="55">
        <v>8.0</v>
      </c>
      <c r="G283" s="55">
        <v>-8.0</v>
      </c>
      <c r="H283" s="55">
        <v>2.2</v>
      </c>
      <c r="I283" s="55">
        <v>86.758</v>
      </c>
      <c r="J283" s="55">
        <v>87.854</v>
      </c>
      <c r="K283" s="55">
        <v>86.575</v>
      </c>
      <c r="L283" s="55">
        <v>87.671</v>
      </c>
      <c r="M283" s="55">
        <v>89.406</v>
      </c>
      <c r="N283" s="56"/>
    </row>
    <row r="284" ht="15.75" customHeight="1">
      <c r="A284" s="10">
        <v>39965.0</v>
      </c>
      <c r="B284" s="55">
        <v>86.7788</v>
      </c>
      <c r="C284" s="55">
        <v>-3.0</v>
      </c>
      <c r="D284" s="55">
        <v>20.0</v>
      </c>
      <c r="E284" s="55">
        <v>-5.0</v>
      </c>
      <c r="F284" s="55">
        <v>-3.0</v>
      </c>
      <c r="G284" s="55">
        <v>-10.0</v>
      </c>
      <c r="H284" s="55">
        <v>-0.2</v>
      </c>
      <c r="I284" s="55">
        <v>85.114</v>
      </c>
      <c r="J284" s="55">
        <v>87.58</v>
      </c>
      <c r="K284" s="55">
        <v>87.489</v>
      </c>
      <c r="L284" s="55">
        <v>84.201</v>
      </c>
      <c r="M284" s="55">
        <v>85.205</v>
      </c>
      <c r="N284" s="56"/>
    </row>
    <row r="285" ht="15.75" customHeight="1">
      <c r="A285" s="10">
        <v>39995.0</v>
      </c>
      <c r="B285" s="55">
        <v>88.4042</v>
      </c>
      <c r="C285" s="55">
        <v>-2.0</v>
      </c>
      <c r="D285" s="55">
        <v>17.0</v>
      </c>
      <c r="E285" s="55">
        <v>-7.0</v>
      </c>
      <c r="F285" s="55">
        <v>9.0</v>
      </c>
      <c r="G285" s="55">
        <v>-4.0</v>
      </c>
      <c r="H285" s="55">
        <v>2.6</v>
      </c>
      <c r="I285" s="55">
        <v>86.21</v>
      </c>
      <c r="J285" s="55">
        <v>89.954</v>
      </c>
      <c r="K285" s="55">
        <v>87.306</v>
      </c>
      <c r="L285" s="55">
        <v>89.954</v>
      </c>
      <c r="M285" s="55">
        <v>88.584</v>
      </c>
      <c r="N285" s="56"/>
    </row>
    <row r="286" ht="15.75" customHeight="1">
      <c r="A286" s="10">
        <v>40026.0</v>
      </c>
      <c r="B286" s="55">
        <v>88.7238</v>
      </c>
      <c r="C286" s="55">
        <v>-4.0</v>
      </c>
      <c r="D286" s="55">
        <v>20.0</v>
      </c>
      <c r="E286" s="55">
        <v>-6.0</v>
      </c>
      <c r="F286" s="55">
        <v>6.0</v>
      </c>
      <c r="G286" s="55">
        <v>-5.0</v>
      </c>
      <c r="H286" s="55">
        <v>2.2</v>
      </c>
      <c r="I286" s="55">
        <v>87.489</v>
      </c>
      <c r="J286" s="55">
        <v>91.598</v>
      </c>
      <c r="K286" s="55">
        <v>90.868</v>
      </c>
      <c r="L286" s="55">
        <v>83.47</v>
      </c>
      <c r="M286" s="55">
        <v>86.301</v>
      </c>
      <c r="N286" s="56"/>
    </row>
    <row r="287" ht="15.75" customHeight="1">
      <c r="A287" s="10">
        <v>40057.0</v>
      </c>
      <c r="B287" s="55">
        <v>89.08</v>
      </c>
      <c r="C287" s="55">
        <v>-1.0</v>
      </c>
      <c r="D287" s="55">
        <v>18.0</v>
      </c>
      <c r="E287" s="55">
        <v>-4.0</v>
      </c>
      <c r="F287" s="55">
        <v>9.0</v>
      </c>
      <c r="G287" s="55">
        <v>-3.0</v>
      </c>
      <c r="H287" s="55">
        <v>3.8</v>
      </c>
      <c r="I287" s="55">
        <v>86.849</v>
      </c>
      <c r="J287" s="55">
        <v>90.502</v>
      </c>
      <c r="K287" s="55">
        <v>91.781</v>
      </c>
      <c r="L287" s="55">
        <v>91.05</v>
      </c>
      <c r="M287" s="55">
        <v>88.128</v>
      </c>
      <c r="N287" s="56"/>
    </row>
    <row r="288" ht="15.75" customHeight="1">
      <c r="A288" s="10">
        <v>40087.0</v>
      </c>
      <c r="B288" s="55">
        <v>88.039</v>
      </c>
      <c r="C288" s="55">
        <v>-4.0</v>
      </c>
      <c r="D288" s="55">
        <v>16.0</v>
      </c>
      <c r="E288" s="55">
        <v>-4.0</v>
      </c>
      <c r="F288" s="55">
        <v>-1.0</v>
      </c>
      <c r="G288" s="55">
        <v>-3.0</v>
      </c>
      <c r="H288" s="55">
        <v>0.8</v>
      </c>
      <c r="I288" s="55">
        <v>82.74</v>
      </c>
      <c r="J288" s="55">
        <v>89.498</v>
      </c>
      <c r="K288" s="55">
        <v>86.027</v>
      </c>
      <c r="L288" s="55">
        <v>89.224</v>
      </c>
      <c r="M288" s="55">
        <v>86.667</v>
      </c>
      <c r="N288" s="56"/>
    </row>
    <row r="289" ht="15.75" customHeight="1">
      <c r="A289" s="10">
        <v>40118.0</v>
      </c>
      <c r="B289" s="55">
        <v>87.975</v>
      </c>
      <c r="C289" s="55">
        <v>-3.0</v>
      </c>
      <c r="D289" s="55">
        <v>17.0</v>
      </c>
      <c r="E289" s="55">
        <v>-8.0</v>
      </c>
      <c r="F289" s="55">
        <v>-1.0</v>
      </c>
      <c r="G289" s="55">
        <v>-3.0</v>
      </c>
      <c r="H289" s="55">
        <v>0.4</v>
      </c>
      <c r="I289" s="55">
        <v>86.119</v>
      </c>
      <c r="J289" s="55">
        <v>88.402</v>
      </c>
      <c r="K289" s="55">
        <v>90.411</v>
      </c>
      <c r="L289" s="55">
        <v>92.877</v>
      </c>
      <c r="M289" s="55">
        <v>86.21</v>
      </c>
      <c r="N289" s="56"/>
    </row>
    <row r="290" ht="15.75" customHeight="1">
      <c r="A290" s="10">
        <v>40148.0</v>
      </c>
      <c r="B290" s="55">
        <v>89.1439</v>
      </c>
      <c r="C290" s="55">
        <v>-2.0</v>
      </c>
      <c r="D290" s="55">
        <v>19.0</v>
      </c>
      <c r="E290" s="55">
        <v>-3.0</v>
      </c>
      <c r="F290" s="55">
        <v>1.0</v>
      </c>
      <c r="G290" s="55">
        <v>0.0</v>
      </c>
      <c r="H290" s="55">
        <v>3.0</v>
      </c>
      <c r="I290" s="55">
        <v>86.484</v>
      </c>
      <c r="J290" s="55">
        <v>90.959</v>
      </c>
      <c r="K290" s="55">
        <v>87.763</v>
      </c>
      <c r="L290" s="55">
        <v>86.667</v>
      </c>
      <c r="M290" s="55">
        <v>88.402</v>
      </c>
      <c r="N290" s="56"/>
    </row>
    <row r="291" ht="15.75" customHeight="1">
      <c r="A291" s="10">
        <v>40179.0</v>
      </c>
      <c r="B291" s="55">
        <v>88.1942</v>
      </c>
      <c r="C291" s="55">
        <v>0.0</v>
      </c>
      <c r="D291" s="55">
        <v>19.0</v>
      </c>
      <c r="E291" s="55">
        <v>-6.0</v>
      </c>
      <c r="F291" s="55">
        <v>-6.0</v>
      </c>
      <c r="G291" s="55">
        <v>-2.0</v>
      </c>
      <c r="H291" s="55">
        <v>1.0</v>
      </c>
      <c r="I291" s="55">
        <v>84.475</v>
      </c>
      <c r="J291" s="55">
        <v>92.785</v>
      </c>
      <c r="K291" s="55">
        <v>90.776</v>
      </c>
      <c r="L291" s="55">
        <v>85.845</v>
      </c>
      <c r="M291" s="55">
        <v>87.58</v>
      </c>
      <c r="N291" s="56"/>
    </row>
    <row r="292" ht="15.75" customHeight="1">
      <c r="A292" s="10">
        <v>40210.0</v>
      </c>
      <c r="B292" s="55">
        <v>87.3084</v>
      </c>
      <c r="C292" s="55">
        <v>1.0</v>
      </c>
      <c r="D292" s="55">
        <v>17.0</v>
      </c>
      <c r="E292" s="55">
        <v>-6.0</v>
      </c>
      <c r="F292" s="55">
        <v>-2.0</v>
      </c>
      <c r="G292" s="55">
        <v>-1.0</v>
      </c>
      <c r="H292" s="55">
        <v>1.8</v>
      </c>
      <c r="I292" s="55">
        <v>83.744</v>
      </c>
      <c r="J292" s="55">
        <v>94.703</v>
      </c>
      <c r="K292" s="55">
        <v>95.525</v>
      </c>
      <c r="L292" s="55">
        <v>88.128</v>
      </c>
      <c r="M292" s="55">
        <v>85.388</v>
      </c>
      <c r="N292" s="56"/>
    </row>
    <row r="293" ht="15.75" customHeight="1">
      <c r="A293" s="10">
        <v>40238.0</v>
      </c>
      <c r="B293" s="55">
        <v>90.2397</v>
      </c>
      <c r="C293" s="55">
        <v>0.0</v>
      </c>
      <c r="D293" s="55">
        <v>18.0</v>
      </c>
      <c r="E293" s="55">
        <v>-3.0</v>
      </c>
      <c r="F293" s="55">
        <v>2.0</v>
      </c>
      <c r="G293" s="55">
        <v>6.0</v>
      </c>
      <c r="H293" s="55">
        <v>4.6</v>
      </c>
      <c r="I293" s="55">
        <v>86.849</v>
      </c>
      <c r="J293" s="55">
        <v>94.155</v>
      </c>
      <c r="K293" s="55">
        <v>91.416</v>
      </c>
      <c r="L293" s="55">
        <v>90.046</v>
      </c>
      <c r="M293" s="55">
        <v>90.959</v>
      </c>
      <c r="N293" s="56"/>
    </row>
    <row r="294" ht="15.75" customHeight="1">
      <c r="A294" s="10">
        <v>40269.0</v>
      </c>
      <c r="B294" s="55">
        <v>91.8195</v>
      </c>
      <c r="C294" s="55">
        <v>2.0</v>
      </c>
      <c r="D294" s="55">
        <v>20.0</v>
      </c>
      <c r="E294" s="55">
        <v>1.0</v>
      </c>
      <c r="F294" s="55">
        <v>7.0</v>
      </c>
      <c r="G294" s="55">
        <v>5.0</v>
      </c>
      <c r="H294" s="55">
        <v>7.0</v>
      </c>
      <c r="I294" s="55">
        <v>87.489</v>
      </c>
      <c r="J294" s="55">
        <v>101.005</v>
      </c>
      <c r="K294" s="55">
        <v>97.169</v>
      </c>
      <c r="L294" s="55">
        <v>93.151</v>
      </c>
      <c r="M294" s="55">
        <v>89.772</v>
      </c>
      <c r="N294" s="56"/>
    </row>
    <row r="295" ht="15.75" customHeight="1">
      <c r="A295" s="10">
        <v>40299.0</v>
      </c>
      <c r="B295" s="55">
        <v>89.5092</v>
      </c>
      <c r="C295" s="55">
        <v>1.0</v>
      </c>
      <c r="D295" s="55">
        <v>20.0</v>
      </c>
      <c r="E295" s="55">
        <v>-3.0</v>
      </c>
      <c r="F295" s="55">
        <v>-5.0</v>
      </c>
      <c r="G295" s="55">
        <v>-3.0</v>
      </c>
      <c r="H295" s="55">
        <v>2.0</v>
      </c>
      <c r="I295" s="55">
        <v>85.205</v>
      </c>
      <c r="J295" s="55">
        <v>89.954</v>
      </c>
      <c r="K295" s="55">
        <v>95.16</v>
      </c>
      <c r="L295" s="55">
        <v>93.79</v>
      </c>
      <c r="M295" s="55">
        <v>88.95</v>
      </c>
      <c r="N295" s="56"/>
    </row>
    <row r="296" ht="15.75" customHeight="1">
      <c r="A296" s="10">
        <v>40330.0</v>
      </c>
      <c r="B296" s="55">
        <v>88.4225</v>
      </c>
      <c r="C296" s="55">
        <v>2.0</v>
      </c>
      <c r="D296" s="55">
        <v>20.0</v>
      </c>
      <c r="E296" s="55">
        <v>-4.0</v>
      </c>
      <c r="F296" s="55">
        <v>-15.0</v>
      </c>
      <c r="G296" s="55">
        <v>-3.0</v>
      </c>
      <c r="H296" s="55">
        <v>0.0</v>
      </c>
      <c r="I296" s="55">
        <v>86.301</v>
      </c>
      <c r="J296" s="55">
        <v>91.781</v>
      </c>
      <c r="K296" s="55">
        <v>91.233</v>
      </c>
      <c r="L296" s="55">
        <v>92.785</v>
      </c>
      <c r="M296" s="55">
        <v>86.301</v>
      </c>
      <c r="N296" s="56"/>
    </row>
    <row r="297" ht="15.75" customHeight="1">
      <c r="A297" s="10">
        <v>40360.0</v>
      </c>
      <c r="B297" s="55">
        <v>88.5869</v>
      </c>
      <c r="C297" s="55">
        <v>-1.0</v>
      </c>
      <c r="D297" s="55">
        <v>17.0</v>
      </c>
      <c r="E297" s="55">
        <v>-7.0</v>
      </c>
      <c r="F297" s="55">
        <v>-9.0</v>
      </c>
      <c r="G297" s="55">
        <v>1.0</v>
      </c>
      <c r="H297" s="55">
        <v>0.2</v>
      </c>
      <c r="I297" s="55">
        <v>85.388</v>
      </c>
      <c r="J297" s="55">
        <v>92.877</v>
      </c>
      <c r="K297" s="55">
        <v>90.32</v>
      </c>
      <c r="L297" s="55">
        <v>90.868</v>
      </c>
      <c r="M297" s="55">
        <v>89.498</v>
      </c>
      <c r="N297" s="56"/>
    </row>
    <row r="298" ht="15.75" customHeight="1">
      <c r="A298" s="10">
        <v>40391.0</v>
      </c>
      <c r="B298" s="55">
        <v>88.9978</v>
      </c>
      <c r="C298" s="55">
        <v>-3.0</v>
      </c>
      <c r="D298" s="55">
        <v>21.0</v>
      </c>
      <c r="E298" s="55">
        <v>-3.0</v>
      </c>
      <c r="F298" s="55">
        <v>-5.0</v>
      </c>
      <c r="G298" s="55">
        <v>-2.0</v>
      </c>
      <c r="H298" s="55">
        <v>1.6</v>
      </c>
      <c r="I298" s="55">
        <v>85.479</v>
      </c>
      <c r="J298" s="55">
        <v>96.712</v>
      </c>
      <c r="K298" s="55">
        <v>93.333</v>
      </c>
      <c r="L298" s="55">
        <v>99.361</v>
      </c>
      <c r="M298" s="55">
        <v>85.297</v>
      </c>
      <c r="N298" s="56"/>
    </row>
    <row r="299" ht="15.75" customHeight="1">
      <c r="A299" s="10">
        <v>40422.0</v>
      </c>
      <c r="B299" s="55">
        <v>91.6369</v>
      </c>
      <c r="C299" s="55">
        <v>1.0</v>
      </c>
      <c r="D299" s="55">
        <v>19.0</v>
      </c>
      <c r="E299" s="55">
        <v>-5.0</v>
      </c>
      <c r="F299" s="55">
        <v>6.0</v>
      </c>
      <c r="G299" s="55">
        <v>2.0</v>
      </c>
      <c r="H299" s="55">
        <v>4.6</v>
      </c>
      <c r="I299" s="55">
        <v>88.219</v>
      </c>
      <c r="J299" s="55">
        <v>95.708</v>
      </c>
      <c r="K299" s="55">
        <v>96.438</v>
      </c>
      <c r="L299" s="55">
        <v>96.347</v>
      </c>
      <c r="M299" s="55">
        <v>89.589</v>
      </c>
      <c r="N299" s="56"/>
    </row>
    <row r="300" ht="15.75" customHeight="1">
      <c r="A300" s="10">
        <v>40452.0</v>
      </c>
      <c r="B300" s="55">
        <v>92.9701</v>
      </c>
      <c r="C300" s="55">
        <v>3.0</v>
      </c>
      <c r="D300" s="55">
        <v>20.0</v>
      </c>
      <c r="E300" s="55">
        <v>-1.0</v>
      </c>
      <c r="F300" s="55">
        <v>12.0</v>
      </c>
      <c r="G300" s="55">
        <v>5.0</v>
      </c>
      <c r="H300" s="55">
        <v>7.8</v>
      </c>
      <c r="I300" s="55">
        <v>88.219</v>
      </c>
      <c r="J300" s="55">
        <v>99.178</v>
      </c>
      <c r="K300" s="55">
        <v>98.356</v>
      </c>
      <c r="L300" s="55">
        <v>96.164</v>
      </c>
      <c r="M300" s="55">
        <v>91.689</v>
      </c>
      <c r="N300" s="56"/>
    </row>
    <row r="301" ht="15.75" customHeight="1">
      <c r="A301" s="10">
        <v>40483.0</v>
      </c>
      <c r="B301" s="55">
        <v>92.5409</v>
      </c>
      <c r="C301" s="55">
        <v>5.0</v>
      </c>
      <c r="D301" s="55">
        <v>20.0</v>
      </c>
      <c r="E301" s="55">
        <v>-3.0</v>
      </c>
      <c r="F301" s="55">
        <v>7.0</v>
      </c>
      <c r="G301" s="55">
        <v>6.0</v>
      </c>
      <c r="H301" s="55">
        <v>7.0</v>
      </c>
      <c r="I301" s="55">
        <v>90.411</v>
      </c>
      <c r="J301" s="55">
        <v>96.347</v>
      </c>
      <c r="K301" s="55">
        <v>94.338</v>
      </c>
      <c r="L301" s="55">
        <v>97.169</v>
      </c>
      <c r="M301" s="55">
        <v>91.963</v>
      </c>
      <c r="N301" s="56"/>
    </row>
    <row r="302" ht="15.75" customHeight="1">
      <c r="A302" s="10">
        <v>40513.0</v>
      </c>
      <c r="B302" s="55">
        <v>93.8924</v>
      </c>
      <c r="C302" s="55">
        <v>2.0</v>
      </c>
      <c r="D302" s="55">
        <v>21.0</v>
      </c>
      <c r="E302" s="55">
        <v>0.0</v>
      </c>
      <c r="F302" s="55">
        <v>10.0</v>
      </c>
      <c r="G302" s="55">
        <v>10.0</v>
      </c>
      <c r="H302" s="55">
        <v>8.6</v>
      </c>
      <c r="I302" s="55">
        <v>90.32</v>
      </c>
      <c r="J302" s="55">
        <v>100.457</v>
      </c>
      <c r="K302" s="55">
        <v>94.521</v>
      </c>
      <c r="L302" s="55">
        <v>96.164</v>
      </c>
      <c r="M302" s="55">
        <v>93.333</v>
      </c>
      <c r="N302" s="56"/>
    </row>
    <row r="303" ht="15.75" customHeight="1">
      <c r="A303" s="10">
        <v>40544.0</v>
      </c>
      <c r="B303" s="55">
        <v>94.6777</v>
      </c>
      <c r="C303" s="55">
        <v>6.0</v>
      </c>
      <c r="D303" s="55">
        <v>21.0</v>
      </c>
      <c r="E303" s="55">
        <v>-1.0</v>
      </c>
      <c r="F303" s="55">
        <v>12.0</v>
      </c>
      <c r="G303" s="55">
        <v>12.0</v>
      </c>
      <c r="H303" s="55">
        <v>10.0</v>
      </c>
      <c r="I303" s="55">
        <v>93.881</v>
      </c>
      <c r="J303" s="55">
        <v>100.457</v>
      </c>
      <c r="K303" s="55">
        <v>97.352</v>
      </c>
      <c r="L303" s="55">
        <v>97.534</v>
      </c>
      <c r="M303" s="55">
        <v>91.142</v>
      </c>
      <c r="N303" s="56"/>
    </row>
    <row r="304" ht="15.75" customHeight="1">
      <c r="A304" s="10">
        <v>40575.0</v>
      </c>
      <c r="B304" s="55">
        <v>92.4222</v>
      </c>
      <c r="C304" s="55">
        <v>5.0</v>
      </c>
      <c r="D304" s="55">
        <v>22.0</v>
      </c>
      <c r="E304" s="55">
        <v>2.0</v>
      </c>
      <c r="F304" s="55">
        <v>1.0</v>
      </c>
      <c r="G304" s="55">
        <v>8.0</v>
      </c>
      <c r="H304" s="55">
        <v>7.6</v>
      </c>
      <c r="I304" s="55">
        <v>91.324</v>
      </c>
      <c r="J304" s="55">
        <v>95.89</v>
      </c>
      <c r="K304" s="55">
        <v>92.42</v>
      </c>
      <c r="L304" s="55">
        <v>92.785</v>
      </c>
      <c r="M304" s="55">
        <v>91.324</v>
      </c>
      <c r="N304" s="56"/>
    </row>
    <row r="305" ht="15.75" customHeight="1">
      <c r="A305" s="10">
        <v>40603.0</v>
      </c>
      <c r="B305" s="55">
        <v>90.8789</v>
      </c>
      <c r="C305" s="55">
        <v>3.0</v>
      </c>
      <c r="D305" s="55">
        <v>20.0</v>
      </c>
      <c r="E305" s="55">
        <v>-2.0</v>
      </c>
      <c r="F305" s="55">
        <v>-6.0</v>
      </c>
      <c r="G305" s="55">
        <v>5.0</v>
      </c>
      <c r="H305" s="55">
        <v>4.0</v>
      </c>
      <c r="I305" s="55">
        <v>86.849</v>
      </c>
      <c r="J305" s="55">
        <v>94.521</v>
      </c>
      <c r="K305" s="55">
        <v>96.895</v>
      </c>
      <c r="L305" s="55">
        <v>96.438</v>
      </c>
      <c r="M305" s="55">
        <v>90.776</v>
      </c>
      <c r="N305" s="56"/>
    </row>
    <row r="306" ht="15.75" customHeight="1">
      <c r="A306" s="10">
        <v>40634.0</v>
      </c>
      <c r="B306" s="55">
        <v>90.4497</v>
      </c>
      <c r="C306" s="55">
        <v>0.0</v>
      </c>
      <c r="D306" s="55">
        <v>20.0</v>
      </c>
      <c r="E306" s="55">
        <v>-4.0</v>
      </c>
      <c r="F306" s="55">
        <v>-6.0</v>
      </c>
      <c r="G306" s="55">
        <v>3.0</v>
      </c>
      <c r="H306" s="55">
        <v>2.6</v>
      </c>
      <c r="I306" s="55">
        <v>90.776</v>
      </c>
      <c r="J306" s="55">
        <v>93.333</v>
      </c>
      <c r="K306" s="55">
        <v>90.137</v>
      </c>
      <c r="L306" s="55">
        <v>91.142</v>
      </c>
      <c r="M306" s="55">
        <v>89.041</v>
      </c>
      <c r="N306" s="56"/>
    </row>
    <row r="307" ht="15.75" customHeight="1">
      <c r="A307" s="10">
        <v>40664.0</v>
      </c>
      <c r="B307" s="55">
        <v>91.2442</v>
      </c>
      <c r="C307" s="55">
        <v>3.0</v>
      </c>
      <c r="D307" s="55">
        <v>22.0</v>
      </c>
      <c r="E307" s="55">
        <v>-3.0</v>
      </c>
      <c r="F307" s="55">
        <v>-10.0</v>
      </c>
      <c r="G307" s="55">
        <v>2.0</v>
      </c>
      <c r="H307" s="55">
        <v>2.8</v>
      </c>
      <c r="I307" s="55">
        <v>91.416</v>
      </c>
      <c r="J307" s="55">
        <v>95.251</v>
      </c>
      <c r="K307" s="55">
        <v>97.078</v>
      </c>
      <c r="L307" s="55">
        <v>91.507</v>
      </c>
      <c r="M307" s="55">
        <v>87.306</v>
      </c>
      <c r="N307" s="56"/>
    </row>
    <row r="308" ht="15.75" customHeight="1">
      <c r="A308" s="10">
        <v>40695.0</v>
      </c>
      <c r="B308" s="55">
        <v>90.2488</v>
      </c>
      <c r="C308" s="55">
        <v>2.0</v>
      </c>
      <c r="D308" s="55">
        <v>22.0</v>
      </c>
      <c r="E308" s="55">
        <v>-3.0</v>
      </c>
      <c r="F308" s="55">
        <v>-15.0</v>
      </c>
      <c r="G308" s="55">
        <v>-1.0</v>
      </c>
      <c r="H308" s="55">
        <v>1.0</v>
      </c>
      <c r="I308" s="55">
        <v>88.676</v>
      </c>
      <c r="J308" s="55">
        <v>92.694</v>
      </c>
      <c r="K308" s="55">
        <v>94.612</v>
      </c>
      <c r="L308" s="55">
        <v>90.959</v>
      </c>
      <c r="M308" s="55">
        <v>88.128</v>
      </c>
      <c r="N308" s="56"/>
    </row>
    <row r="309" ht="15.75" customHeight="1">
      <c r="A309" s="10">
        <v>40725.0</v>
      </c>
      <c r="B309" s="55">
        <v>87.9476</v>
      </c>
      <c r="C309" s="55">
        <v>3.0</v>
      </c>
      <c r="D309" s="55">
        <v>22.0</v>
      </c>
      <c r="E309" s="55">
        <v>-5.0</v>
      </c>
      <c r="F309" s="55">
        <v>-27.0</v>
      </c>
      <c r="G309" s="55">
        <v>-11.0</v>
      </c>
      <c r="H309" s="55">
        <v>-3.6</v>
      </c>
      <c r="I309" s="55">
        <v>86.575</v>
      </c>
      <c r="J309" s="55">
        <v>91.781</v>
      </c>
      <c r="K309" s="55">
        <v>94.795</v>
      </c>
      <c r="L309" s="55">
        <v>89.863</v>
      </c>
      <c r="M309" s="55">
        <v>86.758</v>
      </c>
      <c r="N309" s="56"/>
    </row>
    <row r="310" ht="15.75" customHeight="1">
      <c r="A310" s="10">
        <v>40756.0</v>
      </c>
      <c r="B310" s="55">
        <v>88.9065</v>
      </c>
      <c r="C310" s="55">
        <v>4.0</v>
      </c>
      <c r="D310" s="55">
        <v>22.0</v>
      </c>
      <c r="E310" s="55">
        <v>-2.0</v>
      </c>
      <c r="F310" s="55">
        <v>-24.0</v>
      </c>
      <c r="G310" s="55">
        <v>-5.0</v>
      </c>
      <c r="H310" s="55">
        <v>-1.0</v>
      </c>
      <c r="I310" s="55">
        <v>86.667</v>
      </c>
      <c r="J310" s="55">
        <v>90.685</v>
      </c>
      <c r="K310" s="55">
        <v>92.42</v>
      </c>
      <c r="L310" s="55">
        <v>93.242</v>
      </c>
      <c r="M310" s="55">
        <v>86.393</v>
      </c>
      <c r="N310" s="56"/>
    </row>
    <row r="311" ht="15.75" customHeight="1">
      <c r="A311" s="10">
        <v>40787.0</v>
      </c>
      <c r="B311" s="55">
        <v>90.1758</v>
      </c>
      <c r="C311" s="55">
        <v>3.0</v>
      </c>
      <c r="D311" s="55">
        <v>22.0</v>
      </c>
      <c r="E311" s="55">
        <v>-1.0</v>
      </c>
      <c r="F311" s="55">
        <v>-18.0</v>
      </c>
      <c r="G311" s="55">
        <v>-3.0</v>
      </c>
      <c r="H311" s="55">
        <v>0.6</v>
      </c>
      <c r="I311" s="55">
        <v>88.493</v>
      </c>
      <c r="J311" s="55">
        <v>94.155</v>
      </c>
      <c r="K311" s="55">
        <v>89.224</v>
      </c>
      <c r="L311" s="55">
        <v>88.767</v>
      </c>
      <c r="M311" s="55">
        <v>88.676</v>
      </c>
      <c r="N311" s="56"/>
    </row>
    <row r="312" ht="15.75" customHeight="1">
      <c r="A312" s="10">
        <v>40817.0</v>
      </c>
      <c r="B312" s="55">
        <v>91.783</v>
      </c>
      <c r="C312" s="55">
        <v>6.0</v>
      </c>
      <c r="D312" s="55">
        <v>24.0</v>
      </c>
      <c r="E312" s="55">
        <v>-1.0</v>
      </c>
      <c r="F312" s="55">
        <v>-16.0</v>
      </c>
      <c r="G312" s="55">
        <v>3.0</v>
      </c>
      <c r="H312" s="55">
        <v>3.2</v>
      </c>
      <c r="I312" s="55">
        <v>90.776</v>
      </c>
      <c r="J312" s="55">
        <v>93.699</v>
      </c>
      <c r="K312" s="55">
        <v>89.954</v>
      </c>
      <c r="L312" s="55">
        <v>92.329</v>
      </c>
      <c r="M312" s="55">
        <v>90.594</v>
      </c>
      <c r="N312" s="56"/>
    </row>
    <row r="313" ht="15.75" customHeight="1">
      <c r="A313" s="10">
        <v>40848.0</v>
      </c>
      <c r="B313" s="55">
        <v>93.728</v>
      </c>
      <c r="C313" s="55">
        <v>5.0</v>
      </c>
      <c r="D313" s="55">
        <v>23.0</v>
      </c>
      <c r="E313" s="55">
        <v>2.0</v>
      </c>
      <c r="F313" s="55">
        <v>-10.0</v>
      </c>
      <c r="G313" s="55">
        <v>7.0</v>
      </c>
      <c r="H313" s="55">
        <v>5.4</v>
      </c>
      <c r="I313" s="55">
        <v>93.699</v>
      </c>
      <c r="J313" s="55">
        <v>97.26</v>
      </c>
      <c r="K313" s="55">
        <v>95.251</v>
      </c>
      <c r="L313" s="55">
        <v>91.598</v>
      </c>
      <c r="M313" s="55">
        <v>92.877</v>
      </c>
      <c r="N313" s="56"/>
    </row>
    <row r="314" ht="15.75" customHeight="1">
      <c r="A314" s="10">
        <v>40878.0</v>
      </c>
      <c r="B314" s="55">
        <v>93.7098</v>
      </c>
      <c r="C314" s="55">
        <v>4.0</v>
      </c>
      <c r="D314" s="55">
        <v>23.0</v>
      </c>
      <c r="E314" s="55">
        <v>-2.0</v>
      </c>
      <c r="F314" s="55">
        <v>-3.0</v>
      </c>
      <c r="G314" s="55">
        <v>7.0</v>
      </c>
      <c r="H314" s="55">
        <v>5.8</v>
      </c>
      <c r="I314" s="55">
        <v>92.055</v>
      </c>
      <c r="J314" s="55">
        <v>96.895</v>
      </c>
      <c r="K314" s="55">
        <v>94.338</v>
      </c>
      <c r="L314" s="55">
        <v>94.795</v>
      </c>
      <c r="M314" s="55">
        <v>92.42</v>
      </c>
      <c r="N314" s="56"/>
    </row>
    <row r="315" ht="15.75" customHeight="1">
      <c r="A315" s="10">
        <v>40909.0</v>
      </c>
      <c r="B315" s="55">
        <v>94.4951</v>
      </c>
      <c r="C315" s="55">
        <v>5.0</v>
      </c>
      <c r="D315" s="55">
        <v>22.0</v>
      </c>
      <c r="E315" s="55">
        <v>3.0</v>
      </c>
      <c r="F315" s="55">
        <v>-3.0</v>
      </c>
      <c r="G315" s="55">
        <v>10.0</v>
      </c>
      <c r="H315" s="55">
        <v>7.4</v>
      </c>
      <c r="I315" s="55">
        <v>93.425</v>
      </c>
      <c r="J315" s="55">
        <v>100.274</v>
      </c>
      <c r="K315" s="55">
        <v>95.16</v>
      </c>
      <c r="L315" s="55">
        <v>97.352</v>
      </c>
      <c r="M315" s="55">
        <v>94.155</v>
      </c>
      <c r="N315" s="56"/>
    </row>
    <row r="316" ht="15.75" customHeight="1">
      <c r="A316" s="10">
        <v>40940.0</v>
      </c>
      <c r="B316" s="55">
        <v>93.0614</v>
      </c>
      <c r="C316" s="55">
        <v>3.0</v>
      </c>
      <c r="D316" s="55">
        <v>20.0</v>
      </c>
      <c r="E316" s="55">
        <v>1.0</v>
      </c>
      <c r="F316" s="55">
        <v>-2.0</v>
      </c>
      <c r="G316" s="55">
        <v>10.0</v>
      </c>
      <c r="H316" s="55">
        <v>6.4</v>
      </c>
      <c r="I316" s="55">
        <v>89.68</v>
      </c>
      <c r="J316" s="55">
        <v>99.361</v>
      </c>
      <c r="K316" s="55">
        <v>94.703</v>
      </c>
      <c r="L316" s="55">
        <v>95.982</v>
      </c>
      <c r="M316" s="55">
        <v>91.416</v>
      </c>
      <c r="N316" s="56"/>
    </row>
    <row r="317" ht="15.75" customHeight="1">
      <c r="A317" s="10">
        <v>40969.0</v>
      </c>
      <c r="B317" s="55">
        <v>94.1664</v>
      </c>
      <c r="C317" s="55">
        <v>6.0</v>
      </c>
      <c r="D317" s="55">
        <v>24.0</v>
      </c>
      <c r="E317" s="55">
        <v>-1.0</v>
      </c>
      <c r="F317" s="55">
        <v>-3.0</v>
      </c>
      <c r="G317" s="55">
        <v>6.0</v>
      </c>
      <c r="H317" s="55">
        <v>6.4</v>
      </c>
      <c r="I317" s="55">
        <v>93.699</v>
      </c>
      <c r="J317" s="55">
        <v>99.361</v>
      </c>
      <c r="K317" s="55">
        <v>94.429</v>
      </c>
      <c r="L317" s="55">
        <v>97.26</v>
      </c>
      <c r="M317" s="55">
        <v>93.059</v>
      </c>
      <c r="N317" s="56"/>
    </row>
    <row r="318" ht="15.75" customHeight="1">
      <c r="A318" s="10">
        <v>41000.0</v>
      </c>
      <c r="B318" s="55">
        <v>94.0111</v>
      </c>
      <c r="C318" s="55">
        <v>7.0</v>
      </c>
      <c r="D318" s="55">
        <v>24.0</v>
      </c>
      <c r="E318" s="55">
        <v>1.0</v>
      </c>
      <c r="F318" s="55">
        <v>-3.0</v>
      </c>
      <c r="G318" s="55">
        <v>2.0</v>
      </c>
      <c r="H318" s="55">
        <v>6.2</v>
      </c>
      <c r="I318" s="55">
        <v>93.973</v>
      </c>
      <c r="J318" s="55">
        <v>99.543</v>
      </c>
      <c r="K318" s="55">
        <v>94.795</v>
      </c>
      <c r="L318" s="55">
        <v>98.265</v>
      </c>
      <c r="M318" s="55">
        <v>90.594</v>
      </c>
      <c r="N318" s="56"/>
    </row>
    <row r="319" ht="15.75" customHeight="1">
      <c r="A319" s="10">
        <v>41030.0</v>
      </c>
      <c r="B319" s="55">
        <v>91.8834</v>
      </c>
      <c r="C319" s="55">
        <v>3.0</v>
      </c>
      <c r="D319" s="55">
        <v>22.0</v>
      </c>
      <c r="E319" s="55">
        <v>0.0</v>
      </c>
      <c r="F319" s="55">
        <v>-9.0</v>
      </c>
      <c r="G319" s="55">
        <v>-1.0</v>
      </c>
      <c r="H319" s="55">
        <v>3.0</v>
      </c>
      <c r="I319" s="55">
        <v>90.502</v>
      </c>
      <c r="J319" s="55">
        <v>93.699</v>
      </c>
      <c r="K319" s="55">
        <v>97.443</v>
      </c>
      <c r="L319" s="55">
        <v>88.493</v>
      </c>
      <c r="M319" s="55">
        <v>91.598</v>
      </c>
      <c r="N319" s="56"/>
    </row>
    <row r="320" ht="15.75" customHeight="1">
      <c r="A320" s="10">
        <v>41061.0</v>
      </c>
      <c r="B320" s="55">
        <v>91.5273</v>
      </c>
      <c r="C320" s="55">
        <v>5.0</v>
      </c>
      <c r="D320" s="55">
        <v>23.0</v>
      </c>
      <c r="E320" s="55">
        <v>-1.0</v>
      </c>
      <c r="F320" s="55">
        <v>-8.0</v>
      </c>
      <c r="G320" s="55">
        <v>-3.0</v>
      </c>
      <c r="H320" s="55">
        <v>3.2</v>
      </c>
      <c r="I320" s="55">
        <v>90.32</v>
      </c>
      <c r="J320" s="55">
        <v>92.968</v>
      </c>
      <c r="K320" s="55">
        <v>91.598</v>
      </c>
      <c r="L320" s="55">
        <v>91.872</v>
      </c>
      <c r="M320" s="55">
        <v>89.954</v>
      </c>
      <c r="N320" s="56"/>
    </row>
    <row r="321" ht="15.75" customHeight="1">
      <c r="A321" s="10">
        <v>41091.0</v>
      </c>
      <c r="B321" s="55">
        <v>92.6961</v>
      </c>
      <c r="C321" s="55">
        <v>8.0</v>
      </c>
      <c r="D321" s="55">
        <v>25.0</v>
      </c>
      <c r="E321" s="55">
        <v>-1.0</v>
      </c>
      <c r="F321" s="55">
        <v>-3.0</v>
      </c>
      <c r="G321" s="55">
        <v>2.0</v>
      </c>
      <c r="H321" s="55">
        <v>6.2</v>
      </c>
      <c r="I321" s="55">
        <v>91.507</v>
      </c>
      <c r="J321" s="55">
        <v>93.516</v>
      </c>
      <c r="K321" s="55">
        <v>91.781</v>
      </c>
      <c r="L321" s="55">
        <v>92.694</v>
      </c>
      <c r="M321" s="55">
        <v>91.507</v>
      </c>
      <c r="N321" s="56"/>
    </row>
    <row r="322" ht="15.75" customHeight="1">
      <c r="A322" s="10">
        <v>41122.0</v>
      </c>
      <c r="B322" s="55">
        <v>92.7418</v>
      </c>
      <c r="C322" s="55">
        <v>4.0</v>
      </c>
      <c r="D322" s="55">
        <v>23.0</v>
      </c>
      <c r="E322" s="55">
        <v>-1.0</v>
      </c>
      <c r="F322" s="55">
        <v>0.0</v>
      </c>
      <c r="G322" s="55">
        <v>2.0</v>
      </c>
      <c r="H322" s="55">
        <v>5.6</v>
      </c>
      <c r="I322" s="55">
        <v>91.05</v>
      </c>
      <c r="J322" s="55">
        <v>96.895</v>
      </c>
      <c r="K322" s="55">
        <v>92.603</v>
      </c>
      <c r="L322" s="55">
        <v>91.781</v>
      </c>
      <c r="M322" s="55">
        <v>92.329</v>
      </c>
      <c r="N322" s="56"/>
    </row>
    <row r="323" ht="15.75" customHeight="1">
      <c r="A323" s="10">
        <v>41153.0</v>
      </c>
      <c r="B323" s="55">
        <v>93.0066</v>
      </c>
      <c r="C323" s="55">
        <v>4.0</v>
      </c>
      <c r="D323" s="55">
        <v>23.0</v>
      </c>
      <c r="E323" s="55">
        <v>-2.0</v>
      </c>
      <c r="F323" s="55">
        <v>0.0</v>
      </c>
      <c r="G323" s="55">
        <v>4.0</v>
      </c>
      <c r="H323" s="55">
        <v>5.8</v>
      </c>
      <c r="I323" s="55">
        <v>92.694</v>
      </c>
      <c r="J323" s="55">
        <v>95.982</v>
      </c>
      <c r="K323" s="55">
        <v>93.059</v>
      </c>
      <c r="L323" s="55">
        <v>92.237</v>
      </c>
      <c r="M323" s="55">
        <v>90.868</v>
      </c>
      <c r="N323" s="56"/>
    </row>
    <row r="324" ht="15.75" customHeight="1">
      <c r="A324" s="10">
        <v>41183.0</v>
      </c>
      <c r="B324" s="55">
        <v>87.2171</v>
      </c>
      <c r="C324" s="55">
        <v>4.0</v>
      </c>
      <c r="D324" s="55">
        <v>19.0</v>
      </c>
      <c r="E324" s="55">
        <v>-6.0</v>
      </c>
      <c r="F324" s="55">
        <v>-39.0</v>
      </c>
      <c r="G324" s="55">
        <v>-6.0</v>
      </c>
      <c r="H324" s="55">
        <v>-5.6</v>
      </c>
      <c r="I324" s="55">
        <v>86.575</v>
      </c>
      <c r="J324" s="55">
        <v>87.945</v>
      </c>
      <c r="K324" s="55">
        <v>87.854</v>
      </c>
      <c r="L324" s="55">
        <v>82.74</v>
      </c>
      <c r="M324" s="55">
        <v>86.393</v>
      </c>
      <c r="N324" s="56"/>
    </row>
    <row r="325" ht="15.75" customHeight="1">
      <c r="A325" s="10">
        <v>41214.0</v>
      </c>
      <c r="B325" s="55">
        <v>87.975</v>
      </c>
      <c r="C325" s="55">
        <v>0.0</v>
      </c>
      <c r="D325" s="55">
        <v>19.0</v>
      </c>
      <c r="E325" s="55">
        <v>-4.0</v>
      </c>
      <c r="F325" s="55">
        <v>-37.0</v>
      </c>
      <c r="G325" s="55">
        <v>-4.0</v>
      </c>
      <c r="H325" s="55">
        <v>-5.2</v>
      </c>
      <c r="I325" s="55">
        <v>84.292</v>
      </c>
      <c r="J325" s="55">
        <v>90.137</v>
      </c>
      <c r="K325" s="55">
        <v>83.379</v>
      </c>
      <c r="L325" s="55">
        <v>91.963</v>
      </c>
      <c r="M325" s="55">
        <v>88.128</v>
      </c>
      <c r="N325" s="56"/>
    </row>
    <row r="326" ht="15.75" customHeight="1">
      <c r="A326" s="10">
        <v>41244.0</v>
      </c>
      <c r="B326" s="55">
        <v>88.7786</v>
      </c>
      <c r="C326" s="55">
        <v>2.0</v>
      </c>
      <c r="D326" s="55">
        <v>20.0</v>
      </c>
      <c r="E326" s="55">
        <v>-6.0</v>
      </c>
      <c r="F326" s="55">
        <v>-30.0</v>
      </c>
      <c r="G326" s="55">
        <v>-4.0</v>
      </c>
      <c r="H326" s="55">
        <v>-3.6</v>
      </c>
      <c r="I326" s="55">
        <v>89.498</v>
      </c>
      <c r="J326" s="55">
        <v>92.785</v>
      </c>
      <c r="K326" s="55">
        <v>89.954</v>
      </c>
      <c r="L326" s="55">
        <v>81.279</v>
      </c>
      <c r="M326" s="55">
        <v>87.945</v>
      </c>
      <c r="N326" s="56"/>
    </row>
    <row r="327" ht="15.75" customHeight="1">
      <c r="A327" s="10">
        <v>41275.0</v>
      </c>
      <c r="B327" s="55">
        <v>90.9337</v>
      </c>
      <c r="C327" s="55">
        <v>5.0</v>
      </c>
      <c r="D327" s="55">
        <v>24.0</v>
      </c>
      <c r="E327" s="55">
        <v>0.0</v>
      </c>
      <c r="F327" s="55">
        <v>-25.0</v>
      </c>
      <c r="G327" s="55">
        <v>-1.0</v>
      </c>
      <c r="H327" s="55">
        <v>0.6</v>
      </c>
      <c r="I327" s="55">
        <v>90.685</v>
      </c>
      <c r="J327" s="55">
        <v>92.511</v>
      </c>
      <c r="K327" s="55">
        <v>95.434</v>
      </c>
      <c r="L327" s="55">
        <v>89.224</v>
      </c>
      <c r="M327" s="55">
        <v>91.416</v>
      </c>
      <c r="N327" s="56"/>
    </row>
    <row r="328" ht="15.75" customHeight="1">
      <c r="A328" s="10">
        <v>41306.0</v>
      </c>
      <c r="B328" s="55">
        <v>90.0479</v>
      </c>
      <c r="C328" s="55">
        <v>3.0</v>
      </c>
      <c r="D328" s="55">
        <v>23.0</v>
      </c>
      <c r="E328" s="55">
        <v>-4.0</v>
      </c>
      <c r="F328" s="55">
        <v>-22.0</v>
      </c>
      <c r="G328" s="55">
        <v>-2.0</v>
      </c>
      <c r="H328" s="55">
        <v>-0.4</v>
      </c>
      <c r="I328" s="55">
        <v>87.215</v>
      </c>
      <c r="J328" s="55">
        <v>95.434</v>
      </c>
      <c r="K328" s="55">
        <v>92.968</v>
      </c>
      <c r="L328" s="55">
        <v>91.598</v>
      </c>
      <c r="M328" s="55">
        <v>90.685</v>
      </c>
      <c r="N328" s="56"/>
    </row>
    <row r="329" ht="15.75" customHeight="1">
      <c r="A329" s="10">
        <v>41334.0</v>
      </c>
      <c r="B329" s="55">
        <v>91.7008</v>
      </c>
      <c r="C329" s="55">
        <v>7.0</v>
      </c>
      <c r="D329" s="55">
        <v>22.0</v>
      </c>
      <c r="E329" s="55">
        <v>-1.0</v>
      </c>
      <c r="F329" s="55">
        <v>-13.0</v>
      </c>
      <c r="G329" s="55">
        <v>4.0</v>
      </c>
      <c r="H329" s="55">
        <v>3.8</v>
      </c>
      <c r="I329" s="55">
        <v>95.799</v>
      </c>
      <c r="J329" s="55">
        <v>94.247</v>
      </c>
      <c r="K329" s="55">
        <v>91.781</v>
      </c>
      <c r="L329" s="55">
        <v>93.516</v>
      </c>
      <c r="M329" s="55">
        <v>89.68</v>
      </c>
      <c r="N329" s="56"/>
    </row>
    <row r="330" ht="15.75" customHeight="1">
      <c r="A330" s="10">
        <v>41365.0</v>
      </c>
      <c r="B330" s="55">
        <v>94.0111</v>
      </c>
      <c r="C330" s="55">
        <v>6.0</v>
      </c>
      <c r="D330" s="55">
        <v>23.0</v>
      </c>
      <c r="E330" s="55">
        <v>2.0</v>
      </c>
      <c r="F330" s="55">
        <v>-6.0</v>
      </c>
      <c r="G330" s="55">
        <v>8.0</v>
      </c>
      <c r="H330" s="55">
        <v>6.6</v>
      </c>
      <c r="I330" s="55">
        <v>94.064</v>
      </c>
      <c r="J330" s="55">
        <v>99.178</v>
      </c>
      <c r="K330" s="55">
        <v>91.598</v>
      </c>
      <c r="L330" s="55">
        <v>96.53</v>
      </c>
      <c r="M330" s="55">
        <v>92.42</v>
      </c>
      <c r="N330" s="56"/>
    </row>
    <row r="331" ht="15.75" customHeight="1">
      <c r="A331" s="10">
        <v>41395.0</v>
      </c>
      <c r="B331" s="55">
        <v>93.9837</v>
      </c>
      <c r="C331" s="55">
        <v>7.0</v>
      </c>
      <c r="D331" s="55">
        <v>24.0</v>
      </c>
      <c r="E331" s="55">
        <v>-1.0</v>
      </c>
      <c r="F331" s="55">
        <v>-3.0</v>
      </c>
      <c r="G331" s="55">
        <v>7.0</v>
      </c>
      <c r="H331" s="55">
        <v>6.8</v>
      </c>
      <c r="I331" s="55">
        <v>96.347</v>
      </c>
      <c r="J331" s="55">
        <v>98.174</v>
      </c>
      <c r="K331" s="55">
        <v>93.242</v>
      </c>
      <c r="L331" s="55">
        <v>90.137</v>
      </c>
      <c r="M331" s="55">
        <v>92.511</v>
      </c>
      <c r="N331" s="56"/>
    </row>
    <row r="332" ht="15.75" customHeight="1">
      <c r="A332" s="10">
        <v>41426.0</v>
      </c>
      <c r="B332" s="55">
        <v>94.3581</v>
      </c>
      <c r="C332" s="55">
        <v>9.0</v>
      </c>
      <c r="D332" s="55">
        <v>25.0</v>
      </c>
      <c r="E332" s="55">
        <v>-1.0</v>
      </c>
      <c r="F332" s="55">
        <v>-6.0</v>
      </c>
      <c r="G332" s="55">
        <v>8.0</v>
      </c>
      <c r="H332" s="55">
        <v>7.0</v>
      </c>
      <c r="I332" s="55">
        <v>96.256</v>
      </c>
      <c r="J332" s="55">
        <v>98.995</v>
      </c>
      <c r="K332" s="55">
        <v>92.785</v>
      </c>
      <c r="L332" s="55">
        <v>91.507</v>
      </c>
      <c r="M332" s="55">
        <v>91.507</v>
      </c>
      <c r="N332" s="56"/>
    </row>
    <row r="333" ht="15.75" customHeight="1">
      <c r="A333" s="10">
        <v>41456.0</v>
      </c>
      <c r="B333" s="55">
        <v>93.9746</v>
      </c>
      <c r="C333" s="55">
        <v>8.0</v>
      </c>
      <c r="D333" s="55">
        <v>25.0</v>
      </c>
      <c r="E333" s="55">
        <v>-2.0</v>
      </c>
      <c r="F333" s="55">
        <v>-3.0</v>
      </c>
      <c r="G333" s="55">
        <v>6.0</v>
      </c>
      <c r="H333" s="55">
        <v>6.8</v>
      </c>
      <c r="I333" s="55">
        <v>98.63</v>
      </c>
      <c r="J333" s="55">
        <v>94.795</v>
      </c>
      <c r="K333" s="55">
        <v>106.484</v>
      </c>
      <c r="L333" s="55">
        <v>95.16</v>
      </c>
      <c r="M333" s="55">
        <v>90.959</v>
      </c>
      <c r="N333" s="56"/>
    </row>
    <row r="334" ht="15.75" customHeight="1">
      <c r="A334" s="10">
        <v>41487.0</v>
      </c>
      <c r="B334" s="55">
        <v>93.8376</v>
      </c>
      <c r="C334" s="55">
        <v>9.0</v>
      </c>
      <c r="D334" s="55">
        <v>27.0</v>
      </c>
      <c r="E334" s="55">
        <v>-2.0</v>
      </c>
      <c r="F334" s="55">
        <v>-12.0</v>
      </c>
      <c r="G334" s="55">
        <v>9.0</v>
      </c>
      <c r="H334" s="55">
        <v>6.2</v>
      </c>
      <c r="I334" s="55">
        <v>93.607</v>
      </c>
      <c r="J334" s="55">
        <v>96.804</v>
      </c>
      <c r="K334" s="55">
        <v>93.699</v>
      </c>
      <c r="L334" s="55">
        <v>96.712</v>
      </c>
      <c r="M334" s="55">
        <v>89.954</v>
      </c>
      <c r="N334" s="56"/>
    </row>
    <row r="335" ht="15.75" customHeight="1">
      <c r="A335" s="10">
        <v>41518.0</v>
      </c>
      <c r="B335" s="55">
        <v>91.5455</v>
      </c>
      <c r="C335" s="55">
        <v>5.0</v>
      </c>
      <c r="D335" s="55">
        <v>24.0</v>
      </c>
      <c r="E335" s="55">
        <v>-2.0</v>
      </c>
      <c r="F335" s="55">
        <v>-19.0</v>
      </c>
      <c r="G335" s="55">
        <v>3.0</v>
      </c>
      <c r="H335" s="55">
        <v>2.2</v>
      </c>
      <c r="I335" s="55">
        <v>92.968</v>
      </c>
      <c r="J335" s="55">
        <v>93.881</v>
      </c>
      <c r="K335" s="55">
        <v>91.872</v>
      </c>
      <c r="L335" s="55">
        <v>93.425</v>
      </c>
      <c r="M335" s="55">
        <v>90.137</v>
      </c>
      <c r="N335" s="56"/>
    </row>
    <row r="336" ht="15.75" customHeight="1">
      <c r="A336" s="10">
        <v>41548.0</v>
      </c>
      <c r="B336" s="55">
        <v>92.2396</v>
      </c>
      <c r="C336" s="55">
        <v>8.0</v>
      </c>
      <c r="D336" s="55">
        <v>24.0</v>
      </c>
      <c r="E336" s="55">
        <v>-1.0</v>
      </c>
      <c r="F336" s="55">
        <v>-24.0</v>
      </c>
      <c r="G336" s="55">
        <v>2.0</v>
      </c>
      <c r="H336" s="55">
        <v>1.8</v>
      </c>
      <c r="I336" s="55">
        <v>93.699</v>
      </c>
      <c r="J336" s="55">
        <v>98.265</v>
      </c>
      <c r="K336" s="55">
        <v>96.164</v>
      </c>
      <c r="L336" s="55">
        <v>89.863</v>
      </c>
      <c r="M336" s="55">
        <v>88.584</v>
      </c>
      <c r="N336" s="56"/>
    </row>
    <row r="337" ht="15.75" customHeight="1">
      <c r="A337" s="10">
        <v>41579.0</v>
      </c>
      <c r="B337" s="55">
        <v>93.8193</v>
      </c>
      <c r="C337" s="55">
        <v>7.0</v>
      </c>
      <c r="D337" s="55">
        <v>25.0</v>
      </c>
      <c r="E337" s="55">
        <v>-2.0</v>
      </c>
      <c r="F337" s="55">
        <v>-13.0</v>
      </c>
      <c r="G337" s="55">
        <v>6.0</v>
      </c>
      <c r="H337" s="55">
        <v>4.6</v>
      </c>
      <c r="I337" s="55">
        <v>95.616</v>
      </c>
      <c r="J337" s="55">
        <v>98.813</v>
      </c>
      <c r="K337" s="55">
        <v>96.073</v>
      </c>
      <c r="L337" s="55">
        <v>97.808</v>
      </c>
      <c r="M337" s="55">
        <v>89.954</v>
      </c>
      <c r="N337" s="56"/>
    </row>
    <row r="338" ht="15.75" customHeight="1">
      <c r="A338" s="10">
        <v>41609.0</v>
      </c>
      <c r="B338" s="55">
        <v>93.9837</v>
      </c>
      <c r="C338" s="55">
        <v>11.0</v>
      </c>
      <c r="D338" s="55">
        <v>23.0</v>
      </c>
      <c r="E338" s="55">
        <v>-2.0</v>
      </c>
      <c r="F338" s="55">
        <v>-11.0</v>
      </c>
      <c r="G338" s="55">
        <v>12.0</v>
      </c>
      <c r="H338" s="55">
        <v>6.6</v>
      </c>
      <c r="I338" s="55">
        <v>97.534</v>
      </c>
      <c r="J338" s="55">
        <v>97.169</v>
      </c>
      <c r="K338" s="55">
        <v>97.534</v>
      </c>
      <c r="L338" s="55">
        <v>94.977</v>
      </c>
      <c r="M338" s="55">
        <v>90.685</v>
      </c>
      <c r="N338" s="56"/>
    </row>
    <row r="339" ht="15.75" customHeight="1">
      <c r="A339" s="10">
        <v>41640.0</v>
      </c>
      <c r="B339" s="55">
        <v>91.5729</v>
      </c>
      <c r="C339" s="55">
        <v>8.0</v>
      </c>
      <c r="D339" s="55">
        <v>24.0</v>
      </c>
      <c r="E339" s="55">
        <v>-4.0</v>
      </c>
      <c r="F339" s="55">
        <v>-16.0</v>
      </c>
      <c r="G339" s="55">
        <v>1.0</v>
      </c>
      <c r="H339" s="55">
        <v>2.6</v>
      </c>
      <c r="I339" s="55">
        <v>93.333</v>
      </c>
      <c r="J339" s="55">
        <v>92.694</v>
      </c>
      <c r="K339" s="55">
        <v>101.005</v>
      </c>
      <c r="L339" s="55">
        <v>81.553</v>
      </c>
      <c r="M339" s="55">
        <v>89.589</v>
      </c>
      <c r="N339" s="56"/>
    </row>
    <row r="340" ht="15.75" customHeight="1">
      <c r="A340" s="10">
        <v>41671.0</v>
      </c>
      <c r="B340" s="55">
        <v>93.9746</v>
      </c>
      <c r="C340" s="55">
        <v>8.0</v>
      </c>
      <c r="D340" s="55">
        <v>22.0</v>
      </c>
      <c r="E340" s="55">
        <v>2.0</v>
      </c>
      <c r="F340" s="55">
        <v>-12.0</v>
      </c>
      <c r="G340" s="55">
        <v>14.0</v>
      </c>
      <c r="H340" s="55">
        <v>6.8</v>
      </c>
      <c r="I340" s="55">
        <v>96.986</v>
      </c>
      <c r="J340" s="55">
        <v>96.804</v>
      </c>
      <c r="K340" s="55">
        <v>93.699</v>
      </c>
      <c r="L340" s="55">
        <v>91.233</v>
      </c>
      <c r="M340" s="55">
        <v>90.046</v>
      </c>
      <c r="N340" s="56"/>
    </row>
    <row r="341" ht="15.75" customHeight="1">
      <c r="A341" s="10">
        <v>41699.0</v>
      </c>
      <c r="B341" s="55">
        <v>94.8056</v>
      </c>
      <c r="C341" s="55">
        <v>9.0</v>
      </c>
      <c r="D341" s="55">
        <v>24.0</v>
      </c>
      <c r="E341" s="55">
        <v>2.0</v>
      </c>
      <c r="F341" s="55">
        <v>-7.0</v>
      </c>
      <c r="G341" s="55">
        <v>10.0</v>
      </c>
      <c r="H341" s="55">
        <v>7.6</v>
      </c>
      <c r="I341" s="55">
        <v>99.087</v>
      </c>
      <c r="J341" s="55">
        <v>96.804</v>
      </c>
      <c r="K341" s="55">
        <v>98.539</v>
      </c>
      <c r="L341" s="55">
        <v>96.986</v>
      </c>
      <c r="M341" s="55">
        <v>91.416</v>
      </c>
      <c r="N341" s="56"/>
    </row>
    <row r="342" ht="15.75" customHeight="1">
      <c r="A342" s="10">
        <v>41730.0</v>
      </c>
      <c r="B342" s="55">
        <v>96.2027</v>
      </c>
      <c r="C342" s="55">
        <v>11.0</v>
      </c>
      <c r="D342" s="55">
        <v>24.0</v>
      </c>
      <c r="E342" s="55">
        <v>0.0</v>
      </c>
      <c r="F342" s="55">
        <v>-1.0</v>
      </c>
      <c r="G342" s="55">
        <v>15.0</v>
      </c>
      <c r="H342" s="55">
        <v>9.8</v>
      </c>
      <c r="I342" s="55">
        <v>102.009</v>
      </c>
      <c r="J342" s="55">
        <v>98.174</v>
      </c>
      <c r="K342" s="55">
        <v>102.922</v>
      </c>
      <c r="L342" s="55">
        <v>97.169</v>
      </c>
      <c r="M342" s="55">
        <v>91.872</v>
      </c>
      <c r="N342" s="56"/>
    </row>
    <row r="343" ht="15.75" customHeight="1">
      <c r="A343" s="10">
        <v>41760.0</v>
      </c>
      <c r="B343" s="55">
        <v>95.4448</v>
      </c>
      <c r="C343" s="55">
        <v>12.0</v>
      </c>
      <c r="D343" s="55">
        <v>23.0</v>
      </c>
      <c r="E343" s="55">
        <v>-1.0</v>
      </c>
      <c r="F343" s="55">
        <v>-9.0</v>
      </c>
      <c r="G343" s="55">
        <v>13.0</v>
      </c>
      <c r="H343" s="55">
        <v>7.6</v>
      </c>
      <c r="I343" s="55">
        <v>99.361</v>
      </c>
      <c r="J343" s="55">
        <v>96.438</v>
      </c>
      <c r="K343" s="55">
        <v>104.658</v>
      </c>
      <c r="L343" s="55">
        <v>96.073</v>
      </c>
      <c r="M343" s="55">
        <v>92.694</v>
      </c>
      <c r="N343" s="56"/>
    </row>
    <row r="344" ht="15.75" customHeight="1">
      <c r="A344" s="10">
        <v>41791.0</v>
      </c>
      <c r="B344" s="55">
        <v>96.0018</v>
      </c>
      <c r="C344" s="55">
        <v>13.0</v>
      </c>
      <c r="D344" s="55">
        <v>25.0</v>
      </c>
      <c r="E344" s="55">
        <v>0.0</v>
      </c>
      <c r="F344" s="55">
        <v>-6.0</v>
      </c>
      <c r="G344" s="55">
        <v>11.0</v>
      </c>
      <c r="H344" s="55">
        <v>8.6</v>
      </c>
      <c r="I344" s="55">
        <v>97.9</v>
      </c>
      <c r="J344" s="55">
        <v>101.644</v>
      </c>
      <c r="K344" s="55">
        <v>103.653</v>
      </c>
      <c r="L344" s="55">
        <v>95.251</v>
      </c>
      <c r="M344" s="55">
        <v>92.968</v>
      </c>
      <c r="N344" s="56"/>
    </row>
    <row r="345" ht="15.75" customHeight="1">
      <c r="A345" s="10">
        <v>41821.0</v>
      </c>
      <c r="B345" s="55">
        <v>95.8922</v>
      </c>
      <c r="C345" s="55">
        <v>8.0</v>
      </c>
      <c r="D345" s="55">
        <v>28.0</v>
      </c>
      <c r="E345" s="55">
        <v>1.0</v>
      </c>
      <c r="F345" s="55">
        <v>-4.0</v>
      </c>
      <c r="G345" s="55">
        <v>7.0</v>
      </c>
      <c r="H345" s="55">
        <v>8.0</v>
      </c>
      <c r="I345" s="55">
        <v>97.169</v>
      </c>
      <c r="J345" s="55">
        <v>97.9</v>
      </c>
      <c r="K345" s="55">
        <v>96.164</v>
      </c>
      <c r="L345" s="55">
        <v>99.543</v>
      </c>
      <c r="M345" s="55">
        <v>93.516</v>
      </c>
      <c r="N345" s="56"/>
    </row>
    <row r="346" ht="15.75" customHeight="1">
      <c r="A346" s="10">
        <v>41852.0</v>
      </c>
      <c r="B346" s="55">
        <v>95.2987</v>
      </c>
      <c r="C346" s="55">
        <v>9.0</v>
      </c>
      <c r="D346" s="55">
        <v>24.0</v>
      </c>
      <c r="E346" s="55">
        <v>2.0</v>
      </c>
      <c r="F346" s="55">
        <v>-4.0</v>
      </c>
      <c r="G346" s="55">
        <v>6.0</v>
      </c>
      <c r="H346" s="55">
        <v>7.4</v>
      </c>
      <c r="I346" s="55">
        <v>96.53</v>
      </c>
      <c r="J346" s="55">
        <v>97.717</v>
      </c>
      <c r="K346" s="55">
        <v>96.347</v>
      </c>
      <c r="L346" s="55">
        <v>92.877</v>
      </c>
      <c r="M346" s="55">
        <v>92.237</v>
      </c>
      <c r="N346" s="56"/>
    </row>
    <row r="347" ht="15.75" customHeight="1">
      <c r="A347" s="10">
        <v>41883.0</v>
      </c>
      <c r="B347" s="55">
        <v>96.0201</v>
      </c>
      <c r="C347" s="55">
        <v>10.0</v>
      </c>
      <c r="D347" s="55">
        <v>27.0</v>
      </c>
      <c r="E347" s="55">
        <v>2.0</v>
      </c>
      <c r="F347" s="55">
        <v>-5.0</v>
      </c>
      <c r="G347" s="55">
        <v>10.0</v>
      </c>
      <c r="H347" s="55">
        <v>8.8</v>
      </c>
      <c r="I347" s="55">
        <v>101.461</v>
      </c>
      <c r="J347" s="55">
        <v>100.548</v>
      </c>
      <c r="K347" s="55">
        <v>96.895</v>
      </c>
      <c r="L347" s="55">
        <v>97.078</v>
      </c>
      <c r="M347" s="55">
        <v>93.333</v>
      </c>
      <c r="N347" s="56"/>
    </row>
    <row r="348" ht="15.75" customHeight="1">
      <c r="A348" s="10">
        <v>41913.0</v>
      </c>
      <c r="B348" s="55">
        <v>97.8099</v>
      </c>
      <c r="C348" s="55">
        <v>10.0</v>
      </c>
      <c r="D348" s="55">
        <v>25.0</v>
      </c>
      <c r="E348" s="55">
        <v>1.0</v>
      </c>
      <c r="F348" s="55">
        <v>9.0</v>
      </c>
      <c r="G348" s="55">
        <v>13.0</v>
      </c>
      <c r="H348" s="55">
        <v>11.6</v>
      </c>
      <c r="I348" s="55">
        <v>98.539</v>
      </c>
      <c r="J348" s="55">
        <v>99.452</v>
      </c>
      <c r="K348" s="55">
        <v>100.183</v>
      </c>
      <c r="L348" s="55">
        <v>94.429</v>
      </c>
      <c r="M348" s="55">
        <v>97.534</v>
      </c>
      <c r="N348" s="56"/>
    </row>
    <row r="349" ht="15.75" customHeight="1">
      <c r="A349" s="10">
        <v>41944.0</v>
      </c>
      <c r="B349" s="55">
        <v>100.303</v>
      </c>
      <c r="C349" s="55">
        <v>14.0</v>
      </c>
      <c r="D349" s="55">
        <v>28.0</v>
      </c>
      <c r="E349" s="55">
        <v>5.0</v>
      </c>
      <c r="F349" s="55">
        <v>10.0</v>
      </c>
      <c r="G349" s="55">
        <v>18.0</v>
      </c>
      <c r="H349" s="55">
        <v>15.0</v>
      </c>
      <c r="I349" s="55">
        <v>102.1</v>
      </c>
      <c r="J349" s="55">
        <v>101.918</v>
      </c>
      <c r="K349" s="55">
        <v>103.196</v>
      </c>
      <c r="L349" s="55">
        <v>96.621</v>
      </c>
      <c r="M349" s="55">
        <v>96.895</v>
      </c>
      <c r="N349" s="56"/>
    </row>
    <row r="350" ht="15.75" customHeight="1">
      <c r="A350" s="10">
        <v>41974.0</v>
      </c>
      <c r="B350" s="55">
        <v>97.7277</v>
      </c>
      <c r="C350" s="55">
        <v>13.0</v>
      </c>
      <c r="D350" s="55">
        <v>25.0</v>
      </c>
      <c r="E350" s="55">
        <v>3.0</v>
      </c>
      <c r="F350" s="55">
        <v>0.0</v>
      </c>
      <c r="G350" s="55">
        <v>13.0</v>
      </c>
      <c r="H350" s="55">
        <v>10.8</v>
      </c>
      <c r="I350" s="55">
        <v>100.731</v>
      </c>
      <c r="J350" s="55">
        <v>100.822</v>
      </c>
      <c r="K350" s="55">
        <v>104.292</v>
      </c>
      <c r="L350" s="55">
        <v>95.342</v>
      </c>
      <c r="M350" s="55">
        <v>96.986</v>
      </c>
      <c r="N350" s="56"/>
    </row>
    <row r="351" ht="15.75" customHeight="1">
      <c r="A351" s="10">
        <v>42005.0</v>
      </c>
      <c r="B351" s="55">
        <v>98.1478</v>
      </c>
      <c r="C351" s="55">
        <v>13.0</v>
      </c>
      <c r="D351" s="55">
        <v>25.0</v>
      </c>
      <c r="E351" s="55">
        <v>5.0</v>
      </c>
      <c r="F351" s="55">
        <v>2.0</v>
      </c>
      <c r="G351" s="55">
        <v>13.0</v>
      </c>
      <c r="H351" s="55">
        <v>11.6</v>
      </c>
      <c r="I351" s="55">
        <v>101.187</v>
      </c>
      <c r="J351" s="55">
        <v>97.9</v>
      </c>
      <c r="K351" s="55">
        <v>99.178</v>
      </c>
      <c r="L351" s="55">
        <v>98.082</v>
      </c>
      <c r="M351" s="55">
        <v>97.9</v>
      </c>
      <c r="N351" s="56"/>
    </row>
    <row r="352" ht="15.75" customHeight="1">
      <c r="A352" s="10">
        <v>42036.0</v>
      </c>
      <c r="B352" s="55">
        <v>95.7096</v>
      </c>
      <c r="C352" s="55">
        <v>13.0</v>
      </c>
      <c r="D352" s="55">
        <v>22.0</v>
      </c>
      <c r="E352" s="55">
        <v>2.0</v>
      </c>
      <c r="F352" s="55">
        <v>-1.0</v>
      </c>
      <c r="G352" s="55">
        <v>15.0</v>
      </c>
      <c r="H352" s="55">
        <v>10.2</v>
      </c>
      <c r="I352" s="55">
        <v>94.521</v>
      </c>
      <c r="J352" s="55">
        <v>96.256</v>
      </c>
      <c r="K352" s="55">
        <v>97.169</v>
      </c>
      <c r="L352" s="55">
        <v>96.895</v>
      </c>
      <c r="M352" s="55">
        <v>96.347</v>
      </c>
      <c r="N352" s="56"/>
    </row>
    <row r="353" ht="15.75" customHeight="1">
      <c r="A353" s="10">
        <v>42064.0</v>
      </c>
      <c r="B353" s="55">
        <v>96.5406</v>
      </c>
      <c r="C353" s="55">
        <v>12.0</v>
      </c>
      <c r="D353" s="55">
        <v>25.0</v>
      </c>
      <c r="E353" s="55">
        <v>3.0</v>
      </c>
      <c r="F353" s="55">
        <v>-4.0</v>
      </c>
      <c r="G353" s="55">
        <v>10.0</v>
      </c>
      <c r="H353" s="55">
        <v>9.2</v>
      </c>
      <c r="I353" s="55">
        <v>101.005</v>
      </c>
      <c r="J353" s="55">
        <v>98.265</v>
      </c>
      <c r="K353" s="55">
        <v>98.63</v>
      </c>
      <c r="L353" s="55">
        <v>92.055</v>
      </c>
      <c r="M353" s="55">
        <v>95.251</v>
      </c>
      <c r="N353" s="56"/>
    </row>
    <row r="354" ht="15.75" customHeight="1">
      <c r="A354" s="10">
        <v>42095.0</v>
      </c>
      <c r="B354" s="55">
        <v>97.9378</v>
      </c>
      <c r="C354" s="55">
        <v>13.0</v>
      </c>
      <c r="D354" s="55">
        <v>25.0</v>
      </c>
      <c r="E354" s="55">
        <v>3.0</v>
      </c>
      <c r="F354" s="55">
        <v>-4.0</v>
      </c>
      <c r="G354" s="55">
        <v>7.0</v>
      </c>
      <c r="H354" s="55">
        <v>8.8</v>
      </c>
      <c r="I354" s="55">
        <v>101.553</v>
      </c>
      <c r="J354" s="55">
        <v>99.269</v>
      </c>
      <c r="K354" s="55">
        <v>101.279</v>
      </c>
      <c r="L354" s="55">
        <v>97.9</v>
      </c>
      <c r="M354" s="55">
        <v>96.256</v>
      </c>
      <c r="N354" s="56"/>
    </row>
    <row r="355" ht="15.75" customHeight="1">
      <c r="A355" s="10">
        <v>42125.0</v>
      </c>
      <c r="B355" s="55">
        <v>94.6229</v>
      </c>
      <c r="C355" s="55">
        <v>9.0</v>
      </c>
      <c r="D355" s="55">
        <v>24.0</v>
      </c>
      <c r="E355" s="55">
        <v>-4.0</v>
      </c>
      <c r="F355" s="55">
        <v>-8.0</v>
      </c>
      <c r="G355" s="55">
        <v>6.0</v>
      </c>
      <c r="H355" s="55">
        <v>5.4</v>
      </c>
      <c r="I355" s="55">
        <v>100.457</v>
      </c>
      <c r="J355" s="55">
        <v>96.804</v>
      </c>
      <c r="K355" s="55">
        <v>96.895</v>
      </c>
      <c r="L355" s="55">
        <v>104.566</v>
      </c>
      <c r="M355" s="55">
        <v>90.594</v>
      </c>
      <c r="N355" s="56"/>
    </row>
    <row r="356" ht="15.75" customHeight="1">
      <c r="A356" s="10">
        <v>42156.0</v>
      </c>
      <c r="B356" s="55">
        <v>95.7279</v>
      </c>
      <c r="C356" s="55">
        <v>12.0</v>
      </c>
      <c r="D356" s="55">
        <v>26.0</v>
      </c>
      <c r="E356" s="55">
        <v>0.0</v>
      </c>
      <c r="F356" s="55">
        <v>-4.0</v>
      </c>
      <c r="G356" s="55">
        <v>7.0</v>
      </c>
      <c r="H356" s="55">
        <v>8.2</v>
      </c>
      <c r="I356" s="55">
        <v>101.735</v>
      </c>
      <c r="J356" s="55">
        <v>96.986</v>
      </c>
      <c r="K356" s="55">
        <v>93.79</v>
      </c>
      <c r="L356" s="55">
        <v>97.534</v>
      </c>
      <c r="M356" s="55">
        <v>94.977</v>
      </c>
      <c r="N356" s="56"/>
    </row>
    <row r="357" ht="15.75" customHeight="1">
      <c r="A357" s="10">
        <v>42186.0</v>
      </c>
      <c r="B357" s="55">
        <v>95.7096</v>
      </c>
      <c r="C357" s="55">
        <v>11.0</v>
      </c>
      <c r="D357" s="55">
        <v>25.0</v>
      </c>
      <c r="E357" s="55">
        <v>1.0</v>
      </c>
      <c r="F357" s="55">
        <v>-7.0</v>
      </c>
      <c r="G357" s="55">
        <v>8.0</v>
      </c>
      <c r="H357" s="55">
        <v>7.6</v>
      </c>
      <c r="I357" s="55">
        <v>100.183</v>
      </c>
      <c r="J357" s="55">
        <v>96.804</v>
      </c>
      <c r="K357" s="55">
        <v>99.909</v>
      </c>
      <c r="L357" s="55">
        <v>89.132</v>
      </c>
      <c r="M357" s="55">
        <v>96.53</v>
      </c>
      <c r="N357" s="56"/>
    </row>
    <row r="358" ht="15.75" customHeight="1">
      <c r="A358" s="10">
        <v>42217.0</v>
      </c>
      <c r="B358" s="55">
        <v>96.0292</v>
      </c>
      <c r="C358" s="55">
        <v>12.0</v>
      </c>
      <c r="D358" s="55">
        <v>27.0</v>
      </c>
      <c r="E358" s="55">
        <v>3.0</v>
      </c>
      <c r="F358" s="55">
        <v>-6.0</v>
      </c>
      <c r="G358" s="55">
        <v>2.0</v>
      </c>
      <c r="H358" s="55">
        <v>7.6</v>
      </c>
      <c r="I358" s="55">
        <v>98.995</v>
      </c>
      <c r="J358" s="55">
        <v>94.612</v>
      </c>
      <c r="K358" s="55">
        <v>102.374</v>
      </c>
      <c r="L358" s="55">
        <v>94.795</v>
      </c>
      <c r="M358" s="55">
        <v>96.986</v>
      </c>
      <c r="N358" s="56"/>
    </row>
    <row r="359" ht="15.75" customHeight="1">
      <c r="A359" s="10">
        <v>42248.0</v>
      </c>
      <c r="B359" s="55">
        <v>96.0201</v>
      </c>
      <c r="C359" s="55">
        <v>11.0</v>
      </c>
      <c r="D359" s="55">
        <v>27.0</v>
      </c>
      <c r="E359" s="55">
        <v>-1.0</v>
      </c>
      <c r="F359" s="55">
        <v>-6.0</v>
      </c>
      <c r="G359" s="55">
        <v>5.0</v>
      </c>
      <c r="H359" s="55">
        <v>7.2</v>
      </c>
      <c r="I359" s="55">
        <v>99.726</v>
      </c>
      <c r="J359" s="55">
        <v>95.616</v>
      </c>
      <c r="K359" s="55">
        <v>105.936</v>
      </c>
      <c r="L359" s="55">
        <v>93.79</v>
      </c>
      <c r="M359" s="55">
        <v>94.612</v>
      </c>
      <c r="N359" s="56"/>
    </row>
    <row r="360" ht="15.75" customHeight="1">
      <c r="A360" s="10">
        <v>42278.0</v>
      </c>
      <c r="B360" s="55">
        <v>94.5225</v>
      </c>
      <c r="C360" s="55">
        <v>10.0</v>
      </c>
      <c r="D360" s="55">
        <v>25.0</v>
      </c>
      <c r="E360" s="55">
        <v>-1.0</v>
      </c>
      <c r="F360" s="55">
        <v>-11.0</v>
      </c>
      <c r="G360" s="55">
        <v>-2.0</v>
      </c>
      <c r="H360" s="55">
        <v>4.2</v>
      </c>
      <c r="I360" s="55">
        <v>99.269</v>
      </c>
      <c r="J360" s="55">
        <v>95.434</v>
      </c>
      <c r="K360" s="55">
        <v>92.877</v>
      </c>
      <c r="L360" s="55">
        <v>94.247</v>
      </c>
      <c r="M360" s="55">
        <v>92.968</v>
      </c>
      <c r="N360" s="56"/>
    </row>
    <row r="361" ht="15.75" customHeight="1">
      <c r="A361" s="10">
        <v>42309.0</v>
      </c>
      <c r="B361" s="55">
        <v>95.1891</v>
      </c>
      <c r="C361" s="55">
        <v>14.0</v>
      </c>
      <c r="D361" s="55">
        <v>25.0</v>
      </c>
      <c r="E361" s="55">
        <v>0.0</v>
      </c>
      <c r="F361" s="55">
        <v>-16.0</v>
      </c>
      <c r="G361" s="55">
        <v>6.0</v>
      </c>
      <c r="H361" s="55">
        <v>5.8</v>
      </c>
      <c r="I361" s="55">
        <v>99.087</v>
      </c>
      <c r="J361" s="55">
        <v>96.438</v>
      </c>
      <c r="K361" s="55">
        <v>93.79</v>
      </c>
      <c r="L361" s="55">
        <v>90.411</v>
      </c>
      <c r="M361" s="55">
        <v>96.986</v>
      </c>
      <c r="N361" s="56"/>
    </row>
    <row r="362" ht="15.75" customHeight="1">
      <c r="A362" s="10">
        <v>42339.0</v>
      </c>
      <c r="B362" s="55">
        <v>93.8924</v>
      </c>
      <c r="C362" s="55">
        <v>11.0</v>
      </c>
      <c r="D362" s="55">
        <v>25.0</v>
      </c>
      <c r="E362" s="55">
        <v>-1.0</v>
      </c>
      <c r="F362" s="55">
        <v>-21.0</v>
      </c>
      <c r="G362" s="55">
        <v>2.0</v>
      </c>
      <c r="H362" s="55">
        <v>3.2</v>
      </c>
      <c r="I362" s="55">
        <v>98.721</v>
      </c>
      <c r="J362" s="55">
        <v>95.89</v>
      </c>
      <c r="K362" s="55">
        <v>93.881</v>
      </c>
      <c r="L362" s="55">
        <v>94.977</v>
      </c>
      <c r="M362" s="55">
        <v>91.963</v>
      </c>
      <c r="N362" s="56"/>
    </row>
    <row r="363" ht="15.75" customHeight="1">
      <c r="A363" s="10">
        <v>42370.0</v>
      </c>
      <c r="B363" s="55">
        <v>92.9427</v>
      </c>
      <c r="C363" s="55">
        <v>11.0</v>
      </c>
      <c r="D363" s="55">
        <v>23.0</v>
      </c>
      <c r="E363" s="55">
        <v>0.0</v>
      </c>
      <c r="F363" s="55">
        <v>-21.0</v>
      </c>
      <c r="G363" s="55">
        <v>-1.0</v>
      </c>
      <c r="H363" s="55">
        <v>2.4</v>
      </c>
      <c r="I363" s="55">
        <v>96.256</v>
      </c>
      <c r="J363" s="55">
        <v>94.795</v>
      </c>
      <c r="K363" s="55">
        <v>101.461</v>
      </c>
      <c r="L363" s="55">
        <v>89.315</v>
      </c>
      <c r="M363" s="55">
        <v>92.785</v>
      </c>
      <c r="N363" s="56"/>
    </row>
    <row r="364" ht="15.75" customHeight="1">
      <c r="A364" s="10">
        <v>42401.0</v>
      </c>
      <c r="B364" s="55">
        <v>92.6048</v>
      </c>
      <c r="C364" s="55">
        <v>10.0</v>
      </c>
      <c r="D364" s="55">
        <v>25.0</v>
      </c>
      <c r="E364" s="55">
        <v>-1.0</v>
      </c>
      <c r="F364" s="55">
        <v>-16.0</v>
      </c>
      <c r="G364" s="55">
        <v>2.0</v>
      </c>
      <c r="H364" s="55">
        <v>4.0</v>
      </c>
      <c r="I364" s="55">
        <v>95.342</v>
      </c>
      <c r="J364" s="55">
        <v>95.16</v>
      </c>
      <c r="K364" s="55">
        <v>93.79</v>
      </c>
      <c r="L364" s="55">
        <v>92.237</v>
      </c>
      <c r="M364" s="55">
        <v>93.699</v>
      </c>
      <c r="N364" s="56"/>
    </row>
    <row r="365" ht="15.75" customHeight="1">
      <c r="A365" s="10">
        <v>42430.0</v>
      </c>
      <c r="B365" s="55">
        <v>93.6184</v>
      </c>
      <c r="C365" s="55">
        <v>12.0</v>
      </c>
      <c r="D365" s="55">
        <v>25.0</v>
      </c>
      <c r="E365" s="55">
        <v>0.0</v>
      </c>
      <c r="F365" s="55">
        <v>-17.0</v>
      </c>
      <c r="G365" s="55">
        <v>2.0</v>
      </c>
      <c r="H365" s="55">
        <v>4.4</v>
      </c>
      <c r="I365" s="55">
        <v>97.626</v>
      </c>
      <c r="J365" s="55">
        <v>97.626</v>
      </c>
      <c r="K365" s="55">
        <v>97.169</v>
      </c>
      <c r="L365" s="55">
        <v>95.616</v>
      </c>
      <c r="M365" s="55">
        <v>92.42</v>
      </c>
      <c r="N365" s="56"/>
    </row>
    <row r="366" ht="15.75" customHeight="1">
      <c r="A366" s="10">
        <v>42461.0</v>
      </c>
      <c r="B366" s="55">
        <v>93.8285</v>
      </c>
      <c r="C366" s="55">
        <v>12.0</v>
      </c>
      <c r="D366" s="55">
        <v>23.0</v>
      </c>
      <c r="E366" s="55">
        <v>-1.0</v>
      </c>
      <c r="F366" s="55">
        <v>-13.0</v>
      </c>
      <c r="G366" s="55">
        <v>1.0</v>
      </c>
      <c r="H366" s="55">
        <v>4.4</v>
      </c>
      <c r="I366" s="55">
        <v>98.63</v>
      </c>
      <c r="J366" s="55">
        <v>94.703</v>
      </c>
      <c r="K366" s="55">
        <v>90.868</v>
      </c>
      <c r="L366" s="55">
        <v>98.082</v>
      </c>
      <c r="M366" s="55">
        <v>91.689</v>
      </c>
      <c r="N366" s="56"/>
    </row>
    <row r="367" ht="15.75" customHeight="1">
      <c r="A367" s="10">
        <v>42491.0</v>
      </c>
      <c r="B367" s="55">
        <v>94.5316</v>
      </c>
      <c r="C367" s="55">
        <v>11.0</v>
      </c>
      <c r="D367" s="55">
        <v>26.0</v>
      </c>
      <c r="E367" s="55">
        <v>-3.0</v>
      </c>
      <c r="F367" s="55">
        <v>-9.0</v>
      </c>
      <c r="G367" s="55">
        <v>3.0</v>
      </c>
      <c r="H367" s="55">
        <v>5.6</v>
      </c>
      <c r="I367" s="55">
        <v>96.895</v>
      </c>
      <c r="J367" s="55">
        <v>95.342</v>
      </c>
      <c r="K367" s="55">
        <v>91.233</v>
      </c>
      <c r="L367" s="55">
        <v>90.685</v>
      </c>
      <c r="M367" s="55">
        <v>92.511</v>
      </c>
      <c r="N367" s="56"/>
    </row>
    <row r="368" ht="15.75" customHeight="1">
      <c r="A368" s="10">
        <v>42522.0</v>
      </c>
      <c r="B368" s="55">
        <v>94.6321</v>
      </c>
      <c r="C368" s="55">
        <v>12.0</v>
      </c>
      <c r="D368" s="55">
        <v>25.0</v>
      </c>
      <c r="E368" s="55">
        <v>0.0</v>
      </c>
      <c r="F368" s="55">
        <v>-6.0</v>
      </c>
      <c r="G368" s="55">
        <v>1.0</v>
      </c>
      <c r="H368" s="55">
        <v>6.4</v>
      </c>
      <c r="I368" s="55">
        <v>99.909</v>
      </c>
      <c r="J368" s="55">
        <v>97.808</v>
      </c>
      <c r="K368" s="55">
        <v>94.064</v>
      </c>
      <c r="L368" s="55">
        <v>90.32</v>
      </c>
      <c r="M368" s="55">
        <v>91.872</v>
      </c>
      <c r="N368" s="56"/>
    </row>
    <row r="369" ht="15.75" customHeight="1">
      <c r="A369" s="10">
        <v>42552.0</v>
      </c>
      <c r="B369" s="55">
        <v>94.4312</v>
      </c>
      <c r="C369" s="55">
        <v>9.0</v>
      </c>
      <c r="D369" s="55">
        <v>27.0</v>
      </c>
      <c r="E369" s="55">
        <v>0.0</v>
      </c>
      <c r="F369" s="55">
        <v>-11.0</v>
      </c>
      <c r="G369" s="55">
        <v>0.0</v>
      </c>
      <c r="H369" s="55">
        <v>5.0</v>
      </c>
      <c r="I369" s="55">
        <v>101.461</v>
      </c>
      <c r="J369" s="55">
        <v>94.521</v>
      </c>
      <c r="K369" s="55">
        <v>94.521</v>
      </c>
      <c r="L369" s="55">
        <v>90.046</v>
      </c>
      <c r="M369" s="55">
        <v>93.242</v>
      </c>
      <c r="N369" s="56"/>
    </row>
    <row r="370" ht="15.75" customHeight="1">
      <c r="A370" s="10">
        <v>42583.0</v>
      </c>
      <c r="B370" s="55">
        <v>94.1116</v>
      </c>
      <c r="C370" s="55">
        <v>10.0</v>
      </c>
      <c r="D370" s="55">
        <v>27.0</v>
      </c>
      <c r="E370" s="55">
        <v>-7.0</v>
      </c>
      <c r="F370" s="55">
        <v>0.0</v>
      </c>
      <c r="G370" s="55">
        <v>4.0</v>
      </c>
      <c r="H370" s="55">
        <v>6.8</v>
      </c>
      <c r="I370" s="55">
        <v>96.347</v>
      </c>
      <c r="J370" s="55">
        <v>94.155</v>
      </c>
      <c r="K370" s="55">
        <v>94.429</v>
      </c>
      <c r="L370" s="55">
        <v>96.164</v>
      </c>
      <c r="M370" s="55">
        <v>92.237</v>
      </c>
      <c r="N370" s="56"/>
    </row>
    <row r="371" ht="15.75" customHeight="1">
      <c r="A371" s="10">
        <v>42614.0</v>
      </c>
      <c r="B371" s="55">
        <v>94.9243</v>
      </c>
      <c r="C371" s="55">
        <v>10.0</v>
      </c>
      <c r="D371" s="55">
        <v>27.0</v>
      </c>
      <c r="E371" s="55">
        <v>1.0</v>
      </c>
      <c r="F371" s="55">
        <v>-7.0</v>
      </c>
      <c r="G371" s="55">
        <v>0.0</v>
      </c>
      <c r="H371" s="55">
        <v>6.2</v>
      </c>
      <c r="I371" s="55">
        <v>100.365</v>
      </c>
      <c r="J371" s="55">
        <v>98.356</v>
      </c>
      <c r="K371" s="55">
        <v>94.247</v>
      </c>
      <c r="L371" s="55">
        <v>95.251</v>
      </c>
      <c r="M371" s="55">
        <v>92.146</v>
      </c>
      <c r="N371" s="56"/>
    </row>
    <row r="372" ht="15.75" customHeight="1">
      <c r="A372" s="10">
        <v>42644.0</v>
      </c>
      <c r="B372" s="55">
        <v>98.4491</v>
      </c>
      <c r="C372" s="55">
        <v>14.0</v>
      </c>
      <c r="D372" s="55">
        <v>24.0</v>
      </c>
      <c r="E372" s="55">
        <v>4.0</v>
      </c>
      <c r="F372" s="55">
        <v>11.0</v>
      </c>
      <c r="G372" s="55">
        <v>10.0</v>
      </c>
      <c r="H372" s="55">
        <v>12.6</v>
      </c>
      <c r="I372" s="55">
        <v>99.452</v>
      </c>
      <c r="J372" s="55">
        <v>98.539</v>
      </c>
      <c r="K372" s="55">
        <v>101.553</v>
      </c>
      <c r="L372" s="55">
        <v>95.434</v>
      </c>
      <c r="M372" s="55">
        <v>99.269</v>
      </c>
      <c r="N372" s="56"/>
    </row>
    <row r="373" ht="15.75" customHeight="1">
      <c r="A373" s="10">
        <v>42675.0</v>
      </c>
      <c r="B373" s="55">
        <v>105.782</v>
      </c>
      <c r="C373" s="55">
        <v>15.0</v>
      </c>
      <c r="D373" s="55">
        <v>29.0</v>
      </c>
      <c r="E373" s="55">
        <v>3.0</v>
      </c>
      <c r="F373" s="55">
        <v>48.0</v>
      </c>
      <c r="G373" s="55">
        <v>30.0</v>
      </c>
      <c r="H373" s="55">
        <v>25.0</v>
      </c>
      <c r="I373" s="55">
        <v>111.142</v>
      </c>
      <c r="J373" s="55">
        <v>107.945</v>
      </c>
      <c r="K373" s="55">
        <v>98.904</v>
      </c>
      <c r="L373" s="55">
        <v>105.114</v>
      </c>
      <c r="M373" s="55">
        <v>103.836</v>
      </c>
      <c r="N373" s="56"/>
    </row>
    <row r="374" ht="15.75" customHeight="1">
      <c r="A374" s="10">
        <v>42705.0</v>
      </c>
      <c r="B374" s="55">
        <v>105.855</v>
      </c>
      <c r="C374" s="55">
        <v>18.0</v>
      </c>
      <c r="D374" s="55">
        <v>27.0</v>
      </c>
      <c r="E374" s="55">
        <v>2.0</v>
      </c>
      <c r="F374" s="55">
        <v>48.0</v>
      </c>
      <c r="G374" s="55">
        <v>28.0</v>
      </c>
      <c r="H374" s="55">
        <v>24.6</v>
      </c>
      <c r="I374" s="55">
        <v>106.941</v>
      </c>
      <c r="J374" s="55">
        <v>107.306</v>
      </c>
      <c r="K374" s="55">
        <v>105.205</v>
      </c>
      <c r="L374" s="55">
        <v>109.954</v>
      </c>
      <c r="M374" s="55">
        <v>103.653</v>
      </c>
      <c r="N374" s="56"/>
    </row>
    <row r="375" ht="15.75" customHeight="1">
      <c r="A375" s="10">
        <v>42736.0</v>
      </c>
      <c r="B375" s="55">
        <v>105.271</v>
      </c>
      <c r="C375" s="55">
        <v>16.0</v>
      </c>
      <c r="D375" s="55">
        <v>26.0</v>
      </c>
      <c r="E375" s="55">
        <v>3.0</v>
      </c>
      <c r="F375" s="55">
        <v>47.0</v>
      </c>
      <c r="G375" s="55">
        <v>25.0</v>
      </c>
      <c r="H375" s="55">
        <v>23.4</v>
      </c>
      <c r="I375" s="55">
        <v>110.959</v>
      </c>
      <c r="J375" s="55">
        <v>111.05</v>
      </c>
      <c r="K375" s="55">
        <v>107.671</v>
      </c>
      <c r="L375" s="55">
        <v>105.571</v>
      </c>
      <c r="M375" s="55">
        <v>102.922</v>
      </c>
      <c r="N375" s="56"/>
    </row>
    <row r="376" ht="15.75" customHeight="1">
      <c r="A376" s="10">
        <v>42767.0</v>
      </c>
      <c r="B376" s="55">
        <v>104.658</v>
      </c>
      <c r="C376" s="55">
        <v>17.0</v>
      </c>
      <c r="D376" s="55">
        <v>29.0</v>
      </c>
      <c r="E376" s="55">
        <v>3.0</v>
      </c>
      <c r="F376" s="55">
        <v>47.0</v>
      </c>
      <c r="G376" s="55">
        <v>19.0</v>
      </c>
      <c r="H376" s="55">
        <v>23.0</v>
      </c>
      <c r="I376" s="55">
        <v>103.379</v>
      </c>
      <c r="J376" s="55">
        <v>111.05</v>
      </c>
      <c r="K376" s="55">
        <v>98.63</v>
      </c>
      <c r="L376" s="55">
        <v>103.744</v>
      </c>
      <c r="M376" s="55">
        <v>105.023</v>
      </c>
      <c r="N376" s="56"/>
    </row>
    <row r="377" ht="15.75" customHeight="1">
      <c r="A377" s="10">
        <v>42795.0</v>
      </c>
      <c r="B377" s="55">
        <v>104.485</v>
      </c>
      <c r="C377" s="55">
        <v>17.0</v>
      </c>
      <c r="D377" s="55">
        <v>27.0</v>
      </c>
      <c r="E377" s="55">
        <v>3.0</v>
      </c>
      <c r="F377" s="55">
        <v>39.0</v>
      </c>
      <c r="G377" s="55">
        <v>21.0</v>
      </c>
      <c r="H377" s="55">
        <v>21.4</v>
      </c>
      <c r="I377" s="55">
        <v>110.685</v>
      </c>
      <c r="J377" s="55">
        <v>108.767</v>
      </c>
      <c r="K377" s="55">
        <v>104.475</v>
      </c>
      <c r="L377" s="55">
        <v>108.767</v>
      </c>
      <c r="M377" s="55">
        <v>101.187</v>
      </c>
      <c r="N377" s="56"/>
    </row>
    <row r="378" ht="15.75" customHeight="1">
      <c r="A378" s="10">
        <v>42826.0</v>
      </c>
      <c r="B378" s="55">
        <v>104.512</v>
      </c>
      <c r="C378" s="55">
        <v>18.0</v>
      </c>
      <c r="D378" s="55">
        <v>28.0</v>
      </c>
      <c r="E378" s="55">
        <v>1.0</v>
      </c>
      <c r="F378" s="55">
        <v>39.0</v>
      </c>
      <c r="G378" s="55">
        <v>22.0</v>
      </c>
      <c r="H378" s="55">
        <v>21.6</v>
      </c>
      <c r="I378" s="55">
        <v>109.041</v>
      </c>
      <c r="J378" s="55">
        <v>110.594</v>
      </c>
      <c r="K378" s="55">
        <v>103.379</v>
      </c>
      <c r="L378" s="55">
        <v>104.384</v>
      </c>
      <c r="M378" s="55">
        <v>98.995</v>
      </c>
      <c r="N378" s="56"/>
    </row>
    <row r="379" ht="15.75" customHeight="1">
      <c r="A379" s="10">
        <v>42856.0</v>
      </c>
      <c r="B379" s="55">
        <v>103.572</v>
      </c>
      <c r="C379" s="55">
        <v>15.0</v>
      </c>
      <c r="D379" s="55">
        <v>30.0</v>
      </c>
      <c r="E379" s="55">
        <v>3.0</v>
      </c>
      <c r="F379" s="55">
        <v>33.0</v>
      </c>
      <c r="G379" s="55">
        <v>18.0</v>
      </c>
      <c r="H379" s="55">
        <v>19.8</v>
      </c>
      <c r="I379" s="55">
        <v>104.292</v>
      </c>
      <c r="J379" s="55">
        <v>108.676</v>
      </c>
      <c r="K379" s="55">
        <v>102.283</v>
      </c>
      <c r="L379" s="55">
        <v>111.872</v>
      </c>
      <c r="M379" s="55">
        <v>97.9</v>
      </c>
      <c r="N379" s="56"/>
    </row>
    <row r="380" ht="15.75" customHeight="1">
      <c r="A380" s="10">
        <v>42887.0</v>
      </c>
      <c r="B380" s="55">
        <v>105.205</v>
      </c>
      <c r="C380" s="55">
        <v>19.0</v>
      </c>
      <c r="D380" s="55">
        <v>28.0</v>
      </c>
      <c r="E380" s="55">
        <v>5.0</v>
      </c>
      <c r="F380" s="55">
        <v>36.0</v>
      </c>
      <c r="G380" s="55">
        <v>22.0</v>
      </c>
      <c r="H380" s="55">
        <v>22.0</v>
      </c>
      <c r="I380" s="55">
        <v>109.68</v>
      </c>
      <c r="J380" s="55">
        <v>106.484</v>
      </c>
      <c r="K380" s="55">
        <v>106.301</v>
      </c>
      <c r="L380" s="55">
        <v>105.297</v>
      </c>
      <c r="M380" s="55">
        <v>102.831</v>
      </c>
      <c r="N380" s="56"/>
    </row>
    <row r="381" ht="15.75" customHeight="1">
      <c r="A381" s="10">
        <v>42917.0</v>
      </c>
      <c r="B381" s="55">
        <v>105.388</v>
      </c>
      <c r="C381" s="55">
        <v>18.0</v>
      </c>
      <c r="D381" s="55">
        <v>31.0</v>
      </c>
      <c r="E381" s="55">
        <v>1.0</v>
      </c>
      <c r="F381" s="55">
        <v>37.0</v>
      </c>
      <c r="G381" s="55">
        <v>27.0</v>
      </c>
      <c r="H381" s="55">
        <v>22.8</v>
      </c>
      <c r="I381" s="55">
        <v>109.132</v>
      </c>
      <c r="J381" s="55">
        <v>110.594</v>
      </c>
      <c r="K381" s="55">
        <v>108.128</v>
      </c>
      <c r="L381" s="55">
        <v>109.315</v>
      </c>
      <c r="M381" s="55">
        <v>101.37</v>
      </c>
      <c r="N381" s="56"/>
    </row>
    <row r="382" ht="15.75" customHeight="1">
      <c r="A382" s="10">
        <v>42948.0</v>
      </c>
      <c r="B382" s="55">
        <v>103.196</v>
      </c>
      <c r="C382" s="55">
        <v>19.0</v>
      </c>
      <c r="D382" s="55">
        <v>27.0</v>
      </c>
      <c r="E382" s="55">
        <v>7.0</v>
      </c>
      <c r="F382" s="55">
        <v>31.0</v>
      </c>
      <c r="G382" s="55">
        <v>15.0</v>
      </c>
      <c r="H382" s="55">
        <v>19.8</v>
      </c>
      <c r="I382" s="55">
        <v>108.676</v>
      </c>
      <c r="J382" s="55">
        <v>108.402</v>
      </c>
      <c r="K382" s="55">
        <v>104.201</v>
      </c>
      <c r="L382" s="55">
        <v>96.347</v>
      </c>
      <c r="M382" s="55">
        <v>98.995</v>
      </c>
      <c r="N382" s="56"/>
    </row>
    <row r="383" ht="15.75" customHeight="1">
      <c r="A383" s="10">
        <v>42979.0</v>
      </c>
      <c r="B383" s="55">
        <v>103.744</v>
      </c>
      <c r="C383" s="55">
        <v>18.0</v>
      </c>
      <c r="D383" s="55">
        <v>27.0</v>
      </c>
      <c r="E383" s="55">
        <v>3.0</v>
      </c>
      <c r="F383" s="55">
        <v>32.0</v>
      </c>
      <c r="G383" s="55">
        <v>20.0</v>
      </c>
      <c r="H383" s="55">
        <v>20.0</v>
      </c>
      <c r="I383" s="55">
        <v>109.224</v>
      </c>
      <c r="J383" s="55">
        <v>108.584</v>
      </c>
      <c r="K383" s="55">
        <v>107.489</v>
      </c>
      <c r="L383" s="55">
        <v>106.027</v>
      </c>
      <c r="M383" s="55">
        <v>98.995</v>
      </c>
      <c r="N383" s="56"/>
    </row>
    <row r="384" ht="15.75" customHeight="1">
      <c r="A384" s="10">
        <v>43009.0</v>
      </c>
      <c r="B384" s="55">
        <v>107.123</v>
      </c>
      <c r="C384" s="55">
        <v>23.0</v>
      </c>
      <c r="D384" s="55">
        <v>26.0</v>
      </c>
      <c r="E384" s="55">
        <v>7.0</v>
      </c>
      <c r="F384" s="55">
        <v>47.0</v>
      </c>
      <c r="G384" s="55">
        <v>33.0</v>
      </c>
      <c r="H384" s="55">
        <v>27.2</v>
      </c>
      <c r="I384" s="55">
        <v>110.411</v>
      </c>
      <c r="J384" s="55">
        <v>110.776</v>
      </c>
      <c r="K384" s="55">
        <v>106.027</v>
      </c>
      <c r="L384" s="55">
        <v>111.598</v>
      </c>
      <c r="M384" s="55">
        <v>105.662</v>
      </c>
      <c r="N384" s="56"/>
    </row>
    <row r="385" ht="15.75" customHeight="1">
      <c r="A385" s="10">
        <v>43040.0</v>
      </c>
      <c r="B385" s="55">
        <v>104.475</v>
      </c>
      <c r="C385" s="55">
        <v>19.0</v>
      </c>
      <c r="D385" s="55">
        <v>27.0</v>
      </c>
      <c r="E385" s="55">
        <v>-1.0</v>
      </c>
      <c r="F385" s="55">
        <v>35.0</v>
      </c>
      <c r="G385" s="55">
        <v>27.0</v>
      </c>
      <c r="H385" s="55">
        <v>21.4</v>
      </c>
      <c r="I385" s="55">
        <v>108.676</v>
      </c>
      <c r="J385" s="55">
        <v>111.233</v>
      </c>
      <c r="K385" s="55">
        <v>107.671</v>
      </c>
      <c r="L385" s="55">
        <v>104.475</v>
      </c>
      <c r="M385" s="55">
        <v>103.288</v>
      </c>
      <c r="N385" s="56"/>
    </row>
    <row r="386" ht="15.75" customHeight="1">
      <c r="A386" s="10">
        <v>43070.0</v>
      </c>
      <c r="B386" s="55">
        <v>106.575</v>
      </c>
      <c r="C386" s="55">
        <v>20.0</v>
      </c>
      <c r="D386" s="55">
        <v>29.0</v>
      </c>
      <c r="E386" s="55">
        <v>3.0</v>
      </c>
      <c r="F386" s="55">
        <v>41.0</v>
      </c>
      <c r="G386" s="55">
        <v>24.0</v>
      </c>
      <c r="H386" s="55">
        <v>23.4</v>
      </c>
      <c r="I386" s="55">
        <v>113.333</v>
      </c>
      <c r="J386" s="55">
        <v>110.228</v>
      </c>
      <c r="K386" s="55">
        <v>111.507</v>
      </c>
      <c r="L386" s="55">
        <v>104.566</v>
      </c>
      <c r="M386" s="55">
        <v>104.201</v>
      </c>
      <c r="N386" s="56"/>
    </row>
    <row r="387" ht="15.75" customHeight="1">
      <c r="A387" s="10">
        <v>43101.0</v>
      </c>
      <c r="B387" s="55">
        <v>107.397</v>
      </c>
      <c r="C387" s="55">
        <v>19.0</v>
      </c>
      <c r="D387" s="55">
        <v>29.0</v>
      </c>
      <c r="E387" s="55">
        <v>4.0</v>
      </c>
      <c r="F387" s="55">
        <v>43.0</v>
      </c>
      <c r="G387" s="55">
        <v>27.0</v>
      </c>
      <c r="H387" s="55">
        <v>24.4</v>
      </c>
      <c r="I387" s="55">
        <v>113.79</v>
      </c>
      <c r="J387" s="55">
        <v>111.142</v>
      </c>
      <c r="K387" s="55">
        <v>110.137</v>
      </c>
      <c r="L387" s="55">
        <v>115.616</v>
      </c>
      <c r="M387" s="55">
        <v>103.105</v>
      </c>
      <c r="N387" s="56"/>
    </row>
    <row r="388" ht="15.75" customHeight="1">
      <c r="A388" s="10">
        <v>43132.0</v>
      </c>
      <c r="B388" s="55">
        <v>104.658</v>
      </c>
      <c r="C388" s="55">
        <v>21.0</v>
      </c>
      <c r="D388" s="55">
        <v>26.0</v>
      </c>
      <c r="E388" s="55">
        <v>2.0</v>
      </c>
      <c r="F388" s="55">
        <v>32.0</v>
      </c>
      <c r="G388" s="55">
        <v>21.0</v>
      </c>
      <c r="H388" s="55">
        <v>20.4</v>
      </c>
      <c r="I388" s="55">
        <v>110.776</v>
      </c>
      <c r="J388" s="55">
        <v>109.132</v>
      </c>
      <c r="K388" s="55">
        <v>101.918</v>
      </c>
      <c r="L388" s="55">
        <v>101.735</v>
      </c>
      <c r="M388" s="55">
        <v>104.658</v>
      </c>
      <c r="N388" s="56"/>
    </row>
    <row r="389" ht="15.75" customHeight="1">
      <c r="A389" s="10">
        <v>43160.0</v>
      </c>
      <c r="B389" s="55">
        <v>104.658</v>
      </c>
      <c r="C389" s="55">
        <v>17.0</v>
      </c>
      <c r="D389" s="55">
        <v>29.0</v>
      </c>
      <c r="E389" s="55">
        <v>1.0</v>
      </c>
      <c r="F389" s="55">
        <v>31.0</v>
      </c>
      <c r="G389" s="55">
        <v>22.0</v>
      </c>
      <c r="H389" s="55">
        <v>20.0</v>
      </c>
      <c r="I389" s="55">
        <v>109.224</v>
      </c>
      <c r="J389" s="55">
        <v>110.594</v>
      </c>
      <c r="K389" s="55">
        <v>110.502</v>
      </c>
      <c r="L389" s="55">
        <v>103.653</v>
      </c>
      <c r="M389" s="55">
        <v>101.553</v>
      </c>
      <c r="N389" s="56"/>
    </row>
    <row r="390" ht="15.75" customHeight="1">
      <c r="A390" s="10">
        <v>43191.0</v>
      </c>
      <c r="B390" s="55">
        <v>107.58</v>
      </c>
      <c r="C390" s="55">
        <v>18.0</v>
      </c>
      <c r="D390" s="55">
        <v>30.0</v>
      </c>
      <c r="E390" s="55">
        <v>3.0</v>
      </c>
      <c r="F390" s="55">
        <v>37.0</v>
      </c>
      <c r="G390" s="55">
        <v>31.0</v>
      </c>
      <c r="H390" s="55">
        <v>23.8</v>
      </c>
      <c r="I390" s="55">
        <v>112.877</v>
      </c>
      <c r="J390" s="55">
        <v>111.689</v>
      </c>
      <c r="K390" s="55">
        <v>113.699</v>
      </c>
      <c r="L390" s="55">
        <v>112.694</v>
      </c>
      <c r="M390" s="55">
        <v>105.205</v>
      </c>
      <c r="N390" s="56"/>
    </row>
    <row r="391" ht="15.75" customHeight="1">
      <c r="A391" s="10">
        <v>43221.0</v>
      </c>
      <c r="B391" s="55">
        <v>107.215</v>
      </c>
      <c r="C391" s="55">
        <v>20.0</v>
      </c>
      <c r="D391" s="55">
        <v>29.0</v>
      </c>
      <c r="E391" s="55">
        <v>5.0</v>
      </c>
      <c r="F391" s="55">
        <v>33.0</v>
      </c>
      <c r="G391" s="55">
        <v>27.0</v>
      </c>
      <c r="H391" s="55">
        <v>22.8</v>
      </c>
      <c r="I391" s="55">
        <v>109.224</v>
      </c>
      <c r="J391" s="55">
        <v>110.228</v>
      </c>
      <c r="K391" s="55">
        <v>110.502</v>
      </c>
      <c r="L391" s="55">
        <v>106.484</v>
      </c>
      <c r="M391" s="55">
        <v>106.119</v>
      </c>
      <c r="N391" s="56"/>
    </row>
    <row r="392" ht="15.75" customHeight="1">
      <c r="A392" s="10">
        <v>43252.0</v>
      </c>
      <c r="B392" s="55">
        <v>107.854</v>
      </c>
      <c r="C392" s="55">
        <v>23.0</v>
      </c>
      <c r="D392" s="55">
        <v>30.0</v>
      </c>
      <c r="E392" s="55">
        <v>4.0</v>
      </c>
      <c r="F392" s="55">
        <v>34.0</v>
      </c>
      <c r="G392" s="55">
        <v>29.0</v>
      </c>
      <c r="H392" s="55">
        <v>24.0</v>
      </c>
      <c r="I392" s="55">
        <v>112.968</v>
      </c>
      <c r="J392" s="55">
        <v>113.516</v>
      </c>
      <c r="K392" s="55">
        <v>113.516</v>
      </c>
      <c r="L392" s="55">
        <v>107.489</v>
      </c>
      <c r="M392" s="55">
        <v>104.84</v>
      </c>
      <c r="N392" s="56"/>
    </row>
    <row r="393" ht="15.75" customHeight="1">
      <c r="A393" s="10">
        <v>43282.0</v>
      </c>
      <c r="B393" s="55">
        <v>108.584</v>
      </c>
      <c r="C393" s="55">
        <v>26.0</v>
      </c>
      <c r="D393" s="55">
        <v>32.0</v>
      </c>
      <c r="E393" s="55">
        <v>9.0</v>
      </c>
      <c r="F393" s="55">
        <v>33.0</v>
      </c>
      <c r="G393" s="55">
        <v>26.0</v>
      </c>
      <c r="H393" s="55">
        <v>25.2</v>
      </c>
      <c r="I393" s="55">
        <v>116.986</v>
      </c>
      <c r="J393" s="55">
        <v>113.425</v>
      </c>
      <c r="K393" s="55">
        <v>114.064</v>
      </c>
      <c r="L393" s="55">
        <v>108.676</v>
      </c>
      <c r="M393" s="55">
        <v>105.205</v>
      </c>
      <c r="N393" s="56"/>
    </row>
    <row r="394" ht="15.75" customHeight="1">
      <c r="A394" s="10">
        <v>43313.0</v>
      </c>
      <c r="B394" s="55">
        <v>107.854</v>
      </c>
      <c r="C394" s="55">
        <v>23.0</v>
      </c>
      <c r="D394" s="55">
        <v>30.0</v>
      </c>
      <c r="E394" s="55">
        <v>3.0</v>
      </c>
      <c r="F394" s="55">
        <v>33.0</v>
      </c>
      <c r="G394" s="55">
        <v>29.0</v>
      </c>
      <c r="H394" s="55">
        <v>23.6</v>
      </c>
      <c r="I394" s="55">
        <v>113.699</v>
      </c>
      <c r="J394" s="55">
        <v>111.598</v>
      </c>
      <c r="K394" s="55">
        <v>110.046</v>
      </c>
      <c r="L394" s="55">
        <v>110.868</v>
      </c>
      <c r="M394" s="55">
        <v>106.667</v>
      </c>
      <c r="N394" s="56"/>
    </row>
    <row r="395" ht="15.75" customHeight="1">
      <c r="A395" s="10">
        <v>43344.0</v>
      </c>
      <c r="B395" s="55">
        <v>107.397</v>
      </c>
      <c r="C395" s="55">
        <v>22.0</v>
      </c>
      <c r="D395" s="55">
        <v>30.0</v>
      </c>
      <c r="E395" s="55">
        <v>4.0</v>
      </c>
      <c r="F395" s="55">
        <v>33.0</v>
      </c>
      <c r="G395" s="55">
        <v>27.0</v>
      </c>
      <c r="H395" s="55">
        <v>23.2</v>
      </c>
      <c r="I395" s="55">
        <v>113.425</v>
      </c>
      <c r="J395" s="55">
        <v>110.959</v>
      </c>
      <c r="K395" s="55">
        <v>113.881</v>
      </c>
      <c r="L395" s="55">
        <v>106.21</v>
      </c>
      <c r="M395" s="55">
        <v>104.018</v>
      </c>
      <c r="N395" s="56"/>
    </row>
    <row r="396" ht="15.75" customHeight="1">
      <c r="A396" s="10">
        <v>43374.0</v>
      </c>
      <c r="B396" s="55">
        <v>104.658</v>
      </c>
      <c r="C396" s="55">
        <v>21.0</v>
      </c>
      <c r="D396" s="55">
        <v>29.0</v>
      </c>
      <c r="E396" s="55">
        <v>2.0</v>
      </c>
      <c r="F396" s="55">
        <v>21.0</v>
      </c>
      <c r="G396" s="55">
        <v>23.0</v>
      </c>
      <c r="H396" s="55">
        <v>19.2</v>
      </c>
      <c r="I396" s="55">
        <v>108.858</v>
      </c>
      <c r="J396" s="55">
        <v>108.858</v>
      </c>
      <c r="K396" s="55">
        <v>108.219</v>
      </c>
      <c r="L396" s="55">
        <v>103.653</v>
      </c>
      <c r="M396" s="55">
        <v>104.658</v>
      </c>
      <c r="N396" s="56"/>
    </row>
    <row r="397" ht="15.75" customHeight="1">
      <c r="A397" s="10">
        <v>43405.0</v>
      </c>
      <c r="B397" s="55">
        <v>104.018</v>
      </c>
      <c r="C397" s="55">
        <v>22.0</v>
      </c>
      <c r="D397" s="55">
        <v>25.0</v>
      </c>
      <c r="E397" s="55">
        <v>7.0</v>
      </c>
      <c r="F397" s="55">
        <v>14.0</v>
      </c>
      <c r="G397" s="55">
        <v>22.0</v>
      </c>
      <c r="H397" s="55">
        <v>18.0</v>
      </c>
      <c r="I397" s="55">
        <v>108.128</v>
      </c>
      <c r="J397" s="55">
        <v>104.932</v>
      </c>
      <c r="K397" s="55">
        <v>101.187</v>
      </c>
      <c r="L397" s="55">
        <v>102.74</v>
      </c>
      <c r="M397" s="55">
        <v>103.379</v>
      </c>
      <c r="N397" s="56"/>
    </row>
    <row r="398" ht="15.75" customHeight="1">
      <c r="A398" s="10">
        <v>43435.0</v>
      </c>
      <c r="B398" s="55">
        <v>101.187</v>
      </c>
      <c r="C398" s="55">
        <v>18.0</v>
      </c>
      <c r="D398" s="55">
        <v>26.0</v>
      </c>
      <c r="E398" s="55">
        <v>1.0</v>
      </c>
      <c r="F398" s="55">
        <v>6.0</v>
      </c>
      <c r="G398" s="55">
        <v>15.0</v>
      </c>
      <c r="H398" s="55">
        <v>13.2</v>
      </c>
      <c r="I398" s="55">
        <v>104.292</v>
      </c>
      <c r="J398" s="55">
        <v>104.749</v>
      </c>
      <c r="K398" s="55">
        <v>103.288</v>
      </c>
      <c r="L398" s="55">
        <v>100.183</v>
      </c>
      <c r="M398" s="55">
        <v>98.174</v>
      </c>
      <c r="N398" s="56"/>
    </row>
    <row r="399" ht="15.75" customHeight="1">
      <c r="A399" s="10">
        <v>43466.0</v>
      </c>
      <c r="B399" s="55">
        <v>101.553</v>
      </c>
      <c r="C399" s="55">
        <v>17.0</v>
      </c>
      <c r="D399" s="55">
        <v>27.0</v>
      </c>
      <c r="E399" s="55">
        <v>1.0</v>
      </c>
      <c r="F399" s="55">
        <v>11.0</v>
      </c>
      <c r="G399" s="55">
        <v>15.0</v>
      </c>
      <c r="H399" s="55">
        <v>14.2</v>
      </c>
      <c r="I399" s="55">
        <v>108.311</v>
      </c>
      <c r="J399" s="55">
        <v>105.205</v>
      </c>
      <c r="K399" s="55">
        <v>111.781</v>
      </c>
      <c r="L399" s="55">
        <v>102.648</v>
      </c>
      <c r="M399" s="55">
        <v>96.895</v>
      </c>
      <c r="N399" s="56"/>
    </row>
    <row r="400" ht="15.75" customHeight="1">
      <c r="A400" s="10">
        <v>43497.0</v>
      </c>
      <c r="B400" s="55">
        <v>101.918</v>
      </c>
      <c r="C400" s="55">
        <v>19.0</v>
      </c>
      <c r="D400" s="55">
        <v>27.0</v>
      </c>
      <c r="E400" s="55">
        <v>0.0</v>
      </c>
      <c r="F400" s="55">
        <v>12.0</v>
      </c>
      <c r="G400" s="55">
        <v>20.0</v>
      </c>
      <c r="H400" s="55">
        <v>15.6</v>
      </c>
      <c r="I400" s="55">
        <v>107.032</v>
      </c>
      <c r="J400" s="55">
        <v>102.922</v>
      </c>
      <c r="K400" s="55">
        <v>104.384</v>
      </c>
      <c r="L400" s="55">
        <v>97.078</v>
      </c>
      <c r="M400" s="55">
        <v>100.457</v>
      </c>
      <c r="N400" s="56"/>
    </row>
    <row r="401" ht="15.75" customHeight="1">
      <c r="A401" s="10">
        <v>43525.0</v>
      </c>
      <c r="B401" s="55">
        <v>103.47</v>
      </c>
      <c r="C401" s="55">
        <v>21.0</v>
      </c>
      <c r="D401" s="55">
        <v>27.0</v>
      </c>
      <c r="E401" s="55">
        <v>2.0</v>
      </c>
      <c r="F401" s="55">
        <v>14.0</v>
      </c>
      <c r="G401" s="55">
        <v>21.0</v>
      </c>
      <c r="H401" s="55">
        <v>17.0</v>
      </c>
      <c r="I401" s="55">
        <v>108.037</v>
      </c>
      <c r="J401" s="55">
        <v>107.763</v>
      </c>
      <c r="K401" s="55">
        <v>105.845</v>
      </c>
      <c r="L401" s="55">
        <v>106.393</v>
      </c>
      <c r="M401" s="55">
        <v>100.457</v>
      </c>
      <c r="N401" s="56"/>
    </row>
    <row r="402" ht="15.75" customHeight="1">
      <c r="A402" s="10">
        <v>43556.0</v>
      </c>
      <c r="B402" s="55">
        <v>104.932</v>
      </c>
      <c r="C402" s="55">
        <v>21.0</v>
      </c>
      <c r="D402" s="55">
        <v>30.0</v>
      </c>
      <c r="E402" s="55">
        <v>2.0</v>
      </c>
      <c r="F402" s="55">
        <v>16.0</v>
      </c>
      <c r="G402" s="55">
        <v>23.0</v>
      </c>
      <c r="H402" s="55">
        <v>18.4</v>
      </c>
      <c r="I402" s="55">
        <v>109.68</v>
      </c>
      <c r="J402" s="55">
        <v>110.046</v>
      </c>
      <c r="K402" s="55">
        <v>107.397</v>
      </c>
      <c r="L402" s="55">
        <v>95.251</v>
      </c>
      <c r="M402" s="55">
        <v>102.1</v>
      </c>
      <c r="N402" s="56"/>
    </row>
    <row r="403" ht="15.75" customHeight="1">
      <c r="A403" s="10">
        <v>43586.0</v>
      </c>
      <c r="B403" s="55">
        <v>103.379</v>
      </c>
      <c r="C403" s="55">
        <v>19.0</v>
      </c>
      <c r="D403" s="55">
        <v>26.0</v>
      </c>
      <c r="E403" s="55">
        <v>2.0</v>
      </c>
      <c r="F403" s="55">
        <v>16.0</v>
      </c>
      <c r="G403" s="55">
        <v>18.0</v>
      </c>
      <c r="H403" s="55">
        <v>16.2</v>
      </c>
      <c r="I403" s="55">
        <v>104.384</v>
      </c>
      <c r="J403" s="55">
        <v>101.005</v>
      </c>
      <c r="K403" s="55">
        <v>112.329</v>
      </c>
      <c r="L403" s="55">
        <v>105.205</v>
      </c>
      <c r="M403" s="55">
        <v>102.283</v>
      </c>
      <c r="N403" s="56"/>
    </row>
    <row r="404" ht="15.75" customHeight="1">
      <c r="A404" s="10">
        <v>43617.0</v>
      </c>
      <c r="B404" s="55">
        <v>104.658</v>
      </c>
      <c r="C404" s="55">
        <v>21.0</v>
      </c>
      <c r="D404" s="55">
        <v>28.0</v>
      </c>
      <c r="E404" s="55">
        <v>3.0</v>
      </c>
      <c r="F404" s="55">
        <v>19.0</v>
      </c>
      <c r="G404" s="55">
        <v>22.0</v>
      </c>
      <c r="H404" s="55">
        <v>18.6</v>
      </c>
      <c r="I404" s="55">
        <v>108.676</v>
      </c>
      <c r="J404" s="55">
        <v>106.21</v>
      </c>
      <c r="K404" s="55">
        <v>109.315</v>
      </c>
      <c r="L404" s="55">
        <v>108.493</v>
      </c>
      <c r="M404" s="55">
        <v>102.557</v>
      </c>
      <c r="N404" s="56"/>
    </row>
    <row r="405" ht="15.75" customHeight="1">
      <c r="A405" s="10">
        <v>43647.0</v>
      </c>
      <c r="B405" s="55">
        <v>103.105</v>
      </c>
      <c r="C405" s="55">
        <v>20.0</v>
      </c>
      <c r="D405" s="55">
        <v>27.0</v>
      </c>
      <c r="E405" s="55">
        <v>1.0</v>
      </c>
      <c r="F405" s="55">
        <v>12.0</v>
      </c>
      <c r="G405" s="55">
        <v>17.0</v>
      </c>
      <c r="H405" s="55">
        <v>15.4</v>
      </c>
      <c r="I405" s="55">
        <v>105.388</v>
      </c>
      <c r="J405" s="55">
        <v>106.941</v>
      </c>
      <c r="K405" s="55">
        <v>99.452</v>
      </c>
      <c r="L405" s="55">
        <v>105.662</v>
      </c>
      <c r="M405" s="55">
        <v>100.365</v>
      </c>
      <c r="N405" s="56"/>
    </row>
    <row r="406" ht="15.75" customHeight="1">
      <c r="A406" s="10">
        <v>43678.0</v>
      </c>
      <c r="B406" s="55">
        <v>101.735</v>
      </c>
      <c r="C406" s="55">
        <v>17.0</v>
      </c>
      <c r="D406" s="55">
        <v>27.0</v>
      </c>
      <c r="E406" s="55">
        <v>2.0</v>
      </c>
      <c r="F406" s="55">
        <v>9.0</v>
      </c>
      <c r="G406" s="55">
        <v>16.0</v>
      </c>
      <c r="H406" s="55">
        <v>14.2</v>
      </c>
      <c r="I406" s="55">
        <v>110.32</v>
      </c>
      <c r="J406" s="55">
        <v>102.192</v>
      </c>
      <c r="K406" s="55">
        <v>97.717</v>
      </c>
      <c r="L406" s="55">
        <v>103.014</v>
      </c>
      <c r="M406" s="55">
        <v>98.265</v>
      </c>
      <c r="N406" s="56"/>
    </row>
    <row r="407" ht="15.75" customHeight="1">
      <c r="A407" s="10">
        <v>43709.0</v>
      </c>
      <c r="B407" s="55">
        <v>102.374</v>
      </c>
      <c r="C407" s="55">
        <v>18.0</v>
      </c>
      <c r="D407" s="55">
        <v>29.0</v>
      </c>
      <c r="E407" s="55">
        <v>4.0</v>
      </c>
      <c r="F407" s="55">
        <v>10.0</v>
      </c>
      <c r="G407" s="55">
        <v>16.0</v>
      </c>
      <c r="H407" s="55">
        <v>15.4</v>
      </c>
      <c r="I407" s="55">
        <v>106.941</v>
      </c>
      <c r="J407" s="55">
        <v>100.913</v>
      </c>
      <c r="K407" s="55">
        <v>101.096</v>
      </c>
      <c r="L407" s="55">
        <v>102.74</v>
      </c>
      <c r="M407" s="55">
        <v>98.082</v>
      </c>
      <c r="N407" s="56"/>
    </row>
    <row r="408" ht="15.75" customHeight="1">
      <c r="A408" s="10">
        <v>43739.0</v>
      </c>
      <c r="B408" s="55">
        <v>104.566</v>
      </c>
      <c r="C408" s="55">
        <v>20.0</v>
      </c>
      <c r="D408" s="55">
        <v>30.0</v>
      </c>
      <c r="E408" s="55">
        <v>3.0</v>
      </c>
      <c r="F408" s="55">
        <v>12.0</v>
      </c>
      <c r="G408" s="55">
        <v>12.0</v>
      </c>
      <c r="H408" s="55">
        <v>15.4</v>
      </c>
      <c r="I408" s="55">
        <v>110.228</v>
      </c>
      <c r="J408" s="55">
        <v>103.927</v>
      </c>
      <c r="K408" s="55">
        <v>94.521</v>
      </c>
      <c r="L408" s="55">
        <v>103.653</v>
      </c>
      <c r="M408" s="55">
        <v>103.653</v>
      </c>
      <c r="N408" s="56"/>
    </row>
    <row r="409" ht="15.75" customHeight="1">
      <c r="A409" s="10">
        <v>43770.0</v>
      </c>
      <c r="B409" s="55">
        <v>102.283</v>
      </c>
      <c r="C409" s="55">
        <v>18.0</v>
      </c>
      <c r="D409" s="55">
        <v>28.0</v>
      </c>
      <c r="E409" s="55">
        <v>2.0</v>
      </c>
      <c r="F409" s="55">
        <v>14.0</v>
      </c>
      <c r="G409" s="55">
        <v>15.0</v>
      </c>
      <c r="H409" s="55">
        <v>15.4</v>
      </c>
      <c r="I409" s="55">
        <v>110.776</v>
      </c>
      <c r="J409" s="55">
        <v>98.995</v>
      </c>
      <c r="K409" s="55">
        <v>100.822</v>
      </c>
      <c r="L409" s="55">
        <v>106.667</v>
      </c>
      <c r="M409" s="55">
        <v>99.817</v>
      </c>
      <c r="N409" s="56"/>
    </row>
    <row r="410" ht="15.75" customHeight="1">
      <c r="A410" s="10">
        <v>43800.0</v>
      </c>
      <c r="B410" s="55">
        <v>103.927</v>
      </c>
      <c r="C410" s="55">
        <v>19.0</v>
      </c>
      <c r="D410" s="55">
        <v>28.0</v>
      </c>
      <c r="E410" s="55">
        <v>4.0</v>
      </c>
      <c r="F410" s="55">
        <v>13.0</v>
      </c>
      <c r="G410" s="55">
        <v>22.0</v>
      </c>
      <c r="H410" s="55">
        <v>17.2</v>
      </c>
      <c r="I410" s="55">
        <v>108.128</v>
      </c>
      <c r="J410" s="55">
        <v>105.297</v>
      </c>
      <c r="K410" s="55">
        <v>106.575</v>
      </c>
      <c r="L410" s="55">
        <v>104.566</v>
      </c>
      <c r="M410" s="55">
        <v>103.562</v>
      </c>
      <c r="N410" s="56"/>
    </row>
    <row r="411" ht="15.75" customHeight="1">
      <c r="A411" s="10">
        <v>43831.0</v>
      </c>
      <c r="B411" s="55">
        <v>104.292</v>
      </c>
      <c r="C411" s="55">
        <v>22.0</v>
      </c>
      <c r="D411" s="55">
        <v>26.0</v>
      </c>
      <c r="E411" s="55">
        <v>2.0</v>
      </c>
      <c r="F411" s="55">
        <v>22.0</v>
      </c>
      <c r="G411" s="55">
        <v>18.0</v>
      </c>
      <c r="H411" s="55">
        <v>18.0</v>
      </c>
      <c r="I411" s="55">
        <v>108.584</v>
      </c>
      <c r="J411" s="55">
        <v>109.315</v>
      </c>
      <c r="K411" s="55">
        <v>104.201</v>
      </c>
      <c r="L411" s="55">
        <v>105.662</v>
      </c>
      <c r="M411" s="55">
        <v>102.374</v>
      </c>
      <c r="N411" s="56"/>
    </row>
    <row r="412" ht="15.75" customHeight="1">
      <c r="A412" s="10">
        <v>43862.0</v>
      </c>
      <c r="B412" s="55">
        <v>96.621</v>
      </c>
      <c r="C412" s="55">
        <v>10.0</v>
      </c>
      <c r="D412" s="55">
        <v>21.0</v>
      </c>
      <c r="E412" s="55">
        <v>-2.0</v>
      </c>
      <c r="F412" s="55">
        <v>6.0</v>
      </c>
      <c r="G412" s="55">
        <v>-11.0</v>
      </c>
      <c r="H412" s="55">
        <v>4.8</v>
      </c>
      <c r="I412" s="55">
        <v>104.384</v>
      </c>
      <c r="J412" s="55">
        <v>99.178</v>
      </c>
      <c r="K412" s="55">
        <v>100.457</v>
      </c>
      <c r="L412" s="55">
        <v>95.799</v>
      </c>
      <c r="M412" s="55">
        <v>88.676</v>
      </c>
      <c r="N412" s="56"/>
    </row>
    <row r="413" ht="15.75" customHeight="1">
      <c r="A413" s="10">
        <v>43891.0</v>
      </c>
      <c r="B413" s="55">
        <v>91.233</v>
      </c>
      <c r="C413" s="55">
        <v>2.0</v>
      </c>
      <c r="D413" s="55">
        <v>18.0</v>
      </c>
      <c r="E413" s="55">
        <v>-4.0</v>
      </c>
      <c r="F413" s="55">
        <v>30.0</v>
      </c>
      <c r="G413" s="55">
        <v>-41.0</v>
      </c>
      <c r="H413" s="55">
        <v>1.0</v>
      </c>
      <c r="I413" s="55">
        <v>91.963</v>
      </c>
      <c r="J413" s="55">
        <v>87.854</v>
      </c>
      <c r="K413" s="55">
        <v>95.342</v>
      </c>
      <c r="L413" s="55">
        <v>91.05</v>
      </c>
      <c r="M413" s="55">
        <v>89.498</v>
      </c>
      <c r="N413" s="56"/>
    </row>
    <row r="414" ht="15.75" customHeight="1">
      <c r="A414" s="10">
        <v>43922.0</v>
      </c>
      <c r="B414" s="55">
        <v>94.429</v>
      </c>
      <c r="C414" s="55">
        <v>8.0</v>
      </c>
      <c r="D414" s="55">
        <v>20.0</v>
      </c>
      <c r="E414" s="55">
        <v>2.0</v>
      </c>
      <c r="F414" s="55">
        <v>34.0</v>
      </c>
      <c r="G414" s="55">
        <v>-23.0</v>
      </c>
      <c r="H414" s="55">
        <v>8.2</v>
      </c>
      <c r="I414" s="55">
        <v>96.712</v>
      </c>
      <c r="J414" s="55">
        <v>91.324</v>
      </c>
      <c r="K414" s="55">
        <v>88.402</v>
      </c>
      <c r="L414" s="55">
        <v>95.616</v>
      </c>
      <c r="M414" s="55">
        <v>98.447</v>
      </c>
      <c r="N414" s="56"/>
    </row>
    <row r="415" ht="15.75" customHeight="1">
      <c r="A415" s="10">
        <v>43952.0</v>
      </c>
      <c r="B415" s="55">
        <v>100.548</v>
      </c>
      <c r="C415" s="55">
        <v>16.0</v>
      </c>
      <c r="D415" s="55">
        <v>22.0</v>
      </c>
      <c r="E415" s="55">
        <v>6.0</v>
      </c>
      <c r="F415" s="55">
        <v>39.0</v>
      </c>
      <c r="G415" s="55">
        <v>14.0</v>
      </c>
      <c r="H415" s="55">
        <v>19.4</v>
      </c>
      <c r="I415" s="55">
        <v>101.918</v>
      </c>
      <c r="J415" s="55">
        <v>97.991</v>
      </c>
      <c r="K415" s="55">
        <v>94.612</v>
      </c>
      <c r="L415" s="55">
        <v>103.47</v>
      </c>
      <c r="M415" s="55">
        <v>104.566</v>
      </c>
      <c r="N415" s="56"/>
    </row>
    <row r="416" ht="15.75" customHeight="1">
      <c r="A416" s="10">
        <v>43983.0</v>
      </c>
      <c r="B416" s="55">
        <v>98.813</v>
      </c>
      <c r="C416" s="55">
        <v>18.0</v>
      </c>
      <c r="D416" s="55">
        <v>26.0</v>
      </c>
      <c r="E416" s="55">
        <v>4.0</v>
      </c>
      <c r="F416" s="55">
        <v>24.0</v>
      </c>
      <c r="G416" s="55">
        <v>5.0</v>
      </c>
      <c r="H416" s="55">
        <v>15.4</v>
      </c>
      <c r="I416" s="55">
        <v>100.457</v>
      </c>
      <c r="J416" s="55">
        <v>100.731</v>
      </c>
      <c r="K416" s="55">
        <v>97.808</v>
      </c>
      <c r="L416" s="55">
        <v>96.621</v>
      </c>
      <c r="M416" s="55">
        <v>99.726</v>
      </c>
      <c r="N416" s="56"/>
    </row>
    <row r="417" ht="15.75" customHeight="1">
      <c r="A417" s="10">
        <v>44013.0</v>
      </c>
      <c r="B417" s="55">
        <v>100.365</v>
      </c>
      <c r="C417" s="55">
        <v>21.0</v>
      </c>
      <c r="D417" s="55">
        <v>25.0</v>
      </c>
      <c r="E417" s="55">
        <v>5.0</v>
      </c>
      <c r="F417" s="55">
        <v>24.0</v>
      </c>
      <c r="G417" s="55">
        <v>3.0</v>
      </c>
      <c r="H417" s="55">
        <v>15.6</v>
      </c>
      <c r="I417" s="55">
        <v>102.74</v>
      </c>
      <c r="J417" s="55">
        <v>102.283</v>
      </c>
      <c r="K417" s="55">
        <v>96.712</v>
      </c>
      <c r="L417" s="55">
        <v>99.635</v>
      </c>
      <c r="M417" s="55">
        <v>101.187</v>
      </c>
      <c r="N417" s="56"/>
    </row>
    <row r="418" ht="15.75" customHeight="1">
      <c r="A418" s="10">
        <v>44044.0</v>
      </c>
      <c r="B418" s="55">
        <v>103.927</v>
      </c>
      <c r="C418" s="55">
        <v>23.0</v>
      </c>
      <c r="D418" s="55">
        <v>28.0</v>
      </c>
      <c r="E418" s="55">
        <v>11.0</v>
      </c>
      <c r="F418" s="55">
        <v>32.0</v>
      </c>
      <c r="G418" s="55">
        <v>8.0</v>
      </c>
      <c r="H418" s="55">
        <v>20.4</v>
      </c>
      <c r="I418" s="55">
        <v>103.562</v>
      </c>
      <c r="J418" s="55">
        <v>104.292</v>
      </c>
      <c r="K418" s="55">
        <v>103.288</v>
      </c>
      <c r="L418" s="55">
        <v>102.648</v>
      </c>
      <c r="M418" s="55">
        <v>105.571</v>
      </c>
      <c r="N418" s="56"/>
    </row>
    <row r="419" ht="15.75" customHeight="1">
      <c r="A419" s="10">
        <v>44075.0</v>
      </c>
      <c r="B419" s="55">
        <v>103.927</v>
      </c>
      <c r="C419" s="55">
        <v>18.0</v>
      </c>
      <c r="D419" s="55">
        <v>27.0</v>
      </c>
      <c r="E419" s="55">
        <v>11.0</v>
      </c>
      <c r="F419" s="55">
        <v>27.0</v>
      </c>
      <c r="G419" s="55">
        <v>10.0</v>
      </c>
      <c r="H419" s="55">
        <v>18.6</v>
      </c>
      <c r="I419" s="55">
        <v>106.849</v>
      </c>
      <c r="J419" s="55">
        <v>103.562</v>
      </c>
      <c r="K419" s="55">
        <v>106.484</v>
      </c>
      <c r="L419" s="55">
        <v>101.644</v>
      </c>
      <c r="M419" s="55">
        <v>103.927</v>
      </c>
      <c r="N419" s="56"/>
    </row>
    <row r="420" ht="15.75" customHeight="1">
      <c r="A420" s="10">
        <v>44105.0</v>
      </c>
      <c r="B420" s="55">
        <v>101.187</v>
      </c>
      <c r="C420" s="55">
        <v>20.0</v>
      </c>
      <c r="D420" s="55">
        <v>26.0</v>
      </c>
      <c r="E420" s="55">
        <v>5.0</v>
      </c>
      <c r="F420" s="55">
        <v>7.0</v>
      </c>
      <c r="G420" s="55">
        <v>9.0</v>
      </c>
      <c r="H420" s="55">
        <v>13.4</v>
      </c>
      <c r="I420" s="55">
        <v>103.562</v>
      </c>
      <c r="J420" s="55">
        <v>103.288</v>
      </c>
      <c r="K420" s="55">
        <v>106.849</v>
      </c>
      <c r="L420" s="55">
        <v>102.557</v>
      </c>
      <c r="M420" s="55">
        <v>101.918</v>
      </c>
      <c r="N420" s="56"/>
    </row>
    <row r="421" ht="15.75" customHeight="1">
      <c r="A421" s="10">
        <v>44136.0</v>
      </c>
      <c r="B421" s="55">
        <v>95.708</v>
      </c>
      <c r="C421" s="55">
        <v>16.0</v>
      </c>
      <c r="D421" s="55">
        <v>22.0</v>
      </c>
      <c r="E421" s="55">
        <v>3.0</v>
      </c>
      <c r="F421" s="55">
        <v>-17.0</v>
      </c>
      <c r="G421" s="55">
        <v>-5.0</v>
      </c>
      <c r="H421" s="55">
        <v>3.8</v>
      </c>
      <c r="I421" s="55">
        <v>99.087</v>
      </c>
      <c r="J421" s="55">
        <v>98.813</v>
      </c>
      <c r="K421" s="55">
        <v>98.356</v>
      </c>
      <c r="L421" s="55">
        <v>86.393</v>
      </c>
      <c r="M421" s="55">
        <v>98.447</v>
      </c>
      <c r="N421" s="56"/>
    </row>
    <row r="422" ht="15.75" customHeight="1">
      <c r="A422" s="10">
        <v>44166.0</v>
      </c>
      <c r="B422" s="55">
        <v>94.977</v>
      </c>
      <c r="C422" s="55">
        <v>17.0</v>
      </c>
      <c r="D422" s="55">
        <v>22.0</v>
      </c>
      <c r="E422" s="55">
        <v>4.0</v>
      </c>
      <c r="F422" s="55">
        <v>-23.0</v>
      </c>
      <c r="G422" s="55">
        <v>-7.0</v>
      </c>
      <c r="H422" s="55">
        <v>2.6</v>
      </c>
      <c r="I422" s="55">
        <v>96.164</v>
      </c>
      <c r="J422" s="55">
        <v>98.904</v>
      </c>
      <c r="K422" s="55">
        <v>100.639</v>
      </c>
      <c r="L422" s="55">
        <v>97.078</v>
      </c>
      <c r="M422" s="55">
        <v>93.151</v>
      </c>
      <c r="N422" s="56"/>
    </row>
    <row r="423" ht="15.75" customHeight="1">
      <c r="A423" s="10">
        <v>44197.0</v>
      </c>
      <c r="B423" s="55">
        <v>95.616</v>
      </c>
      <c r="C423" s="55">
        <v>19.0</v>
      </c>
      <c r="D423" s="55">
        <v>23.0</v>
      </c>
      <c r="E423" s="55">
        <v>2.0</v>
      </c>
      <c r="F423" s="55">
        <v>-19.0</v>
      </c>
      <c r="G423" s="55">
        <v>-9.0</v>
      </c>
      <c r="H423" s="55">
        <v>3.2</v>
      </c>
      <c r="I423" s="55">
        <v>95.251</v>
      </c>
      <c r="J423" s="55">
        <v>100.274</v>
      </c>
      <c r="K423" s="55">
        <v>100.183</v>
      </c>
      <c r="L423" s="55">
        <v>97.26</v>
      </c>
      <c r="M423" s="55">
        <v>96.986</v>
      </c>
      <c r="N423" s="56"/>
    </row>
    <row r="424" ht="15.75" customHeight="1">
      <c r="A424" s="10">
        <v>44228.0</v>
      </c>
      <c r="B424" s="55">
        <v>98.447</v>
      </c>
      <c r="C424" s="55">
        <v>23.0</v>
      </c>
      <c r="D424" s="55">
        <v>20.0</v>
      </c>
      <c r="E424" s="55">
        <v>5.0</v>
      </c>
      <c r="F424" s="55">
        <v>-7.0</v>
      </c>
      <c r="G424" s="55">
        <v>1.0</v>
      </c>
      <c r="H424" s="55">
        <v>8.4</v>
      </c>
      <c r="I424" s="55">
        <v>97.717</v>
      </c>
      <c r="J424" s="55">
        <v>102.648</v>
      </c>
      <c r="K424" s="55">
        <v>102.192</v>
      </c>
      <c r="L424" s="55">
        <v>101.005</v>
      </c>
      <c r="M424" s="55">
        <v>98.63</v>
      </c>
      <c r="N424" s="56"/>
    </row>
    <row r="425" ht="15.75" customHeight="1">
      <c r="A425" s="10">
        <v>44256.0</v>
      </c>
      <c r="B425" s="55">
        <v>100.0</v>
      </c>
      <c r="C425" s="55">
        <v>22.0</v>
      </c>
      <c r="D425" s="55">
        <v>27.0</v>
      </c>
      <c r="E425" s="55">
        <v>5.0</v>
      </c>
      <c r="F425" s="55">
        <v>-14.0</v>
      </c>
      <c r="G425" s="55">
        <v>2.0</v>
      </c>
      <c r="H425" s="55">
        <v>8.4</v>
      </c>
      <c r="I425" s="55">
        <v>97.9</v>
      </c>
      <c r="J425" s="55">
        <v>105.205</v>
      </c>
      <c r="K425" s="55">
        <v>101.461</v>
      </c>
      <c r="L425" s="55">
        <v>103.014</v>
      </c>
      <c r="M425" s="55">
        <v>102.283</v>
      </c>
      <c r="N425" s="56"/>
    </row>
    <row r="426" ht="15.75" customHeight="1">
      <c r="A426" s="10">
        <v>44287.0</v>
      </c>
      <c r="B426" s="55">
        <v>99.726</v>
      </c>
      <c r="C426" s="55">
        <v>27.0</v>
      </c>
      <c r="D426" s="55">
        <v>27.0</v>
      </c>
      <c r="E426" s="55">
        <v>6.0</v>
      </c>
      <c r="F426" s="55">
        <v>-26.0</v>
      </c>
      <c r="G426" s="55">
        <v>3.0</v>
      </c>
      <c r="H426" s="55">
        <v>7.4</v>
      </c>
      <c r="I426" s="55">
        <v>95.708</v>
      </c>
      <c r="J426" s="55">
        <v>105.571</v>
      </c>
      <c r="K426" s="55">
        <v>101.461</v>
      </c>
      <c r="L426" s="55">
        <v>99.269</v>
      </c>
      <c r="M426" s="55">
        <v>100.183</v>
      </c>
      <c r="N426" s="56"/>
    </row>
    <row r="427" ht="15.75" customHeight="1">
      <c r="A427" s="10">
        <v>44317.0</v>
      </c>
      <c r="B427" s="55">
        <v>102.283</v>
      </c>
      <c r="C427" s="55">
        <v>28.0</v>
      </c>
      <c r="D427" s="55">
        <v>25.0</v>
      </c>
      <c r="E427" s="55">
        <v>10.0</v>
      </c>
      <c r="F427" s="55">
        <v>-12.0</v>
      </c>
      <c r="G427" s="55">
        <v>8.0</v>
      </c>
      <c r="H427" s="55">
        <v>11.8</v>
      </c>
      <c r="I427" s="55">
        <v>98.356</v>
      </c>
      <c r="J427" s="55">
        <v>112.694</v>
      </c>
      <c r="K427" s="55">
        <v>108.858</v>
      </c>
      <c r="L427" s="55">
        <v>106.758</v>
      </c>
      <c r="M427" s="55">
        <v>102.192</v>
      </c>
      <c r="N427" s="56"/>
    </row>
    <row r="428" ht="15.75" customHeight="1">
      <c r="A428" s="10">
        <v>44348.0</v>
      </c>
      <c r="B428" s="55">
        <v>99.726</v>
      </c>
      <c r="C428" s="55">
        <v>27.0</v>
      </c>
      <c r="D428" s="55">
        <v>26.0</v>
      </c>
      <c r="E428" s="55">
        <v>6.0</v>
      </c>
      <c r="F428" s="55">
        <v>-21.0</v>
      </c>
      <c r="G428" s="55">
        <v>-3.0</v>
      </c>
      <c r="H428" s="55">
        <v>7.0</v>
      </c>
      <c r="I428" s="55">
        <v>98.721</v>
      </c>
      <c r="J428" s="55">
        <v>105.479</v>
      </c>
      <c r="K428" s="55">
        <v>98.082</v>
      </c>
      <c r="L428" s="55">
        <v>103.288</v>
      </c>
      <c r="M428" s="55">
        <v>100.274</v>
      </c>
      <c r="N428" s="56"/>
    </row>
    <row r="429" ht="15.75" customHeight="1">
      <c r="A429" s="10">
        <v>44378.0</v>
      </c>
      <c r="B429" s="55">
        <v>100.274</v>
      </c>
      <c r="C429" s="55">
        <v>32.0</v>
      </c>
      <c r="D429" s="55">
        <v>29.0</v>
      </c>
      <c r="E429" s="55">
        <v>10.0</v>
      </c>
      <c r="F429" s="55">
        <v>-27.0</v>
      </c>
      <c r="G429" s="55">
        <v>-1.0</v>
      </c>
      <c r="H429" s="55">
        <v>8.6</v>
      </c>
      <c r="I429" s="55">
        <v>101.005</v>
      </c>
      <c r="J429" s="55">
        <v>101.461</v>
      </c>
      <c r="K429" s="55">
        <v>97.078</v>
      </c>
      <c r="L429" s="55">
        <v>109.772</v>
      </c>
      <c r="M429" s="55">
        <v>98.082</v>
      </c>
      <c r="N429" s="56"/>
    </row>
    <row r="430" ht="15.75" customHeight="1">
      <c r="A430" s="10">
        <v>44409.0</v>
      </c>
      <c r="B430" s="55">
        <v>99.087</v>
      </c>
      <c r="C430" s="55">
        <v>26.0</v>
      </c>
      <c r="D430" s="55">
        <v>28.0</v>
      </c>
      <c r="E430" s="55">
        <v>9.0</v>
      </c>
      <c r="F430" s="55">
        <v>-33.0</v>
      </c>
      <c r="G430" s="55">
        <v>2.0</v>
      </c>
      <c r="H430" s="55">
        <v>6.4</v>
      </c>
      <c r="I430" s="55">
        <v>104.11</v>
      </c>
      <c r="J430" s="55">
        <v>110.959</v>
      </c>
      <c r="K430" s="55">
        <v>94.703</v>
      </c>
      <c r="L430" s="55">
        <v>111.142</v>
      </c>
      <c r="M430" s="55">
        <v>100.0</v>
      </c>
      <c r="N430" s="56"/>
    </row>
    <row r="431" ht="15.75" customHeight="1">
      <c r="A431" s="10">
        <v>44440.0</v>
      </c>
      <c r="B431" s="55">
        <v>98.082</v>
      </c>
      <c r="C431" s="55">
        <v>26.0</v>
      </c>
      <c r="D431" s="55">
        <v>31.0</v>
      </c>
      <c r="E431" s="55">
        <v>7.0</v>
      </c>
      <c r="F431" s="55">
        <v>-37.0</v>
      </c>
      <c r="G431" s="55">
        <v>-1.0</v>
      </c>
      <c r="H431" s="55">
        <v>5.2</v>
      </c>
      <c r="I431" s="55">
        <v>99.726</v>
      </c>
      <c r="J431" s="55">
        <v>102.283</v>
      </c>
      <c r="K431" s="55">
        <v>100.731</v>
      </c>
      <c r="L431" s="55">
        <v>103.744</v>
      </c>
      <c r="M431" s="55">
        <v>98.356</v>
      </c>
      <c r="N431" s="56"/>
    </row>
    <row r="432" ht="15.75" customHeight="1">
      <c r="A432" s="10">
        <v>44470.0</v>
      </c>
      <c r="B432" s="55">
        <v>98.082</v>
      </c>
      <c r="C432" s="55">
        <v>24.0</v>
      </c>
      <c r="D432" s="55">
        <v>27.0</v>
      </c>
      <c r="E432" s="55">
        <v>10.0</v>
      </c>
      <c r="F432" s="55">
        <v>-39.0</v>
      </c>
      <c r="G432" s="55">
        <v>1.0</v>
      </c>
      <c r="H432" s="55">
        <v>4.6</v>
      </c>
      <c r="I432" s="55">
        <v>98.174</v>
      </c>
      <c r="J432" s="55">
        <v>101.187</v>
      </c>
      <c r="K432" s="55">
        <v>102.831</v>
      </c>
      <c r="L432" s="55">
        <v>99.269</v>
      </c>
      <c r="M432" s="55">
        <v>99.817</v>
      </c>
      <c r="N432" s="56"/>
    </row>
    <row r="433" ht="15.75" customHeight="1">
      <c r="A433" s="10">
        <v>44501.0</v>
      </c>
      <c r="B433" s="55">
        <v>98.904</v>
      </c>
      <c r="C433" s="55">
        <v>27.0</v>
      </c>
      <c r="D433" s="55">
        <v>29.0</v>
      </c>
      <c r="E433" s="55">
        <v>7.0</v>
      </c>
      <c r="F433" s="55">
        <v>-35.0</v>
      </c>
      <c r="G433" s="55">
        <v>2.0</v>
      </c>
      <c r="H433" s="55">
        <v>6.0</v>
      </c>
      <c r="I433" s="55">
        <v>100.274</v>
      </c>
      <c r="J433" s="55">
        <v>97.443</v>
      </c>
      <c r="K433" s="55">
        <v>102.831</v>
      </c>
      <c r="L433" s="55">
        <v>99.726</v>
      </c>
      <c r="M433" s="55">
        <v>99.909</v>
      </c>
      <c r="N433" s="56"/>
    </row>
    <row r="434" ht="15.75" customHeight="1">
      <c r="A434" s="10">
        <v>44531.0</v>
      </c>
      <c r="B434" s="55">
        <v>97.169</v>
      </c>
      <c r="C434" s="55">
        <v>26.0</v>
      </c>
      <c r="D434" s="55">
        <v>29.0</v>
      </c>
      <c r="E434" s="55">
        <v>3.0</v>
      </c>
      <c r="F434" s="55">
        <v>-33.0</v>
      </c>
      <c r="G434" s="55">
        <v>-4.0</v>
      </c>
      <c r="H434" s="55">
        <v>4.2</v>
      </c>
      <c r="I434" s="55">
        <v>98.995</v>
      </c>
      <c r="J434" s="55">
        <v>100.913</v>
      </c>
      <c r="K434" s="55">
        <v>98.904</v>
      </c>
      <c r="L434" s="55">
        <v>99.635</v>
      </c>
      <c r="M434" s="55">
        <v>97.26</v>
      </c>
      <c r="N434" s="56"/>
    </row>
    <row r="435" ht="15.75" customHeight="1">
      <c r="A435" s="16">
        <v>44562.0</v>
      </c>
      <c r="B435" s="55">
        <v>95.616</v>
      </c>
      <c r="C435" s="55">
        <v>20.0</v>
      </c>
      <c r="D435" s="55">
        <v>27.0</v>
      </c>
      <c r="E435" s="55">
        <v>2.0</v>
      </c>
      <c r="F435" s="55">
        <v>-35.0</v>
      </c>
      <c r="G435" s="55">
        <v>-7.0</v>
      </c>
      <c r="H435" s="55">
        <v>1.4</v>
      </c>
      <c r="I435" s="55">
        <v>97.9</v>
      </c>
      <c r="J435" s="55">
        <v>97.717</v>
      </c>
      <c r="K435" s="55">
        <v>91.781</v>
      </c>
      <c r="L435" s="55">
        <v>96.986</v>
      </c>
      <c r="M435" s="55">
        <v>95.16</v>
      </c>
      <c r="N435" s="56"/>
    </row>
    <row r="436" ht="15.75" customHeight="1">
      <c r="A436" s="10">
        <v>44593.0</v>
      </c>
      <c r="B436" s="55">
        <v>93.607</v>
      </c>
      <c r="C436" s="55">
        <v>21.0</v>
      </c>
      <c r="D436" s="55">
        <v>26.0</v>
      </c>
      <c r="E436" s="55">
        <v>3.0</v>
      </c>
      <c r="F436" s="55">
        <v>-47.0</v>
      </c>
      <c r="G436" s="55">
        <v>-17.0</v>
      </c>
      <c r="H436" s="55">
        <v>-2.8</v>
      </c>
      <c r="I436" s="55">
        <v>96.347</v>
      </c>
      <c r="J436" s="55">
        <v>93.425</v>
      </c>
      <c r="K436" s="55">
        <v>92.42</v>
      </c>
      <c r="L436" s="55">
        <v>98.63</v>
      </c>
      <c r="M436" s="55">
        <v>93.242</v>
      </c>
      <c r="N436" s="56"/>
    </row>
    <row r="437" ht="15.75" customHeight="1">
      <c r="A437" s="16">
        <v>44621.0</v>
      </c>
      <c r="B437" s="55">
        <v>93.516</v>
      </c>
      <c r="C437" s="55">
        <v>21.0</v>
      </c>
      <c r="D437" s="55">
        <v>27.0</v>
      </c>
      <c r="E437" s="55">
        <v>1.0</v>
      </c>
      <c r="F437" s="55">
        <v>-49.0</v>
      </c>
      <c r="G437" s="55">
        <v>-12.0</v>
      </c>
      <c r="H437" s="55">
        <v>-2.4</v>
      </c>
      <c r="I437" s="55">
        <v>92.694</v>
      </c>
      <c r="J437" s="55">
        <v>99.452</v>
      </c>
      <c r="K437" s="55">
        <v>93.059</v>
      </c>
      <c r="L437" s="55">
        <v>95.89</v>
      </c>
      <c r="M437" s="55">
        <v>93.425</v>
      </c>
      <c r="N437" s="56"/>
    </row>
    <row r="438" ht="15.75" customHeight="1">
      <c r="A438" s="10">
        <v>44652.0</v>
      </c>
      <c r="B438" s="55">
        <v>93.333</v>
      </c>
      <c r="C438" s="55">
        <v>25.0</v>
      </c>
      <c r="D438" s="55">
        <v>26.0</v>
      </c>
      <c r="E438" s="55">
        <v>1.0</v>
      </c>
      <c r="F438" s="55">
        <v>-54.0</v>
      </c>
      <c r="G438" s="55">
        <v>-14.0</v>
      </c>
      <c r="H438" s="55">
        <v>-3.2</v>
      </c>
      <c r="I438" s="55">
        <v>93.333</v>
      </c>
      <c r="J438" s="55">
        <v>96.621</v>
      </c>
      <c r="K438" s="55">
        <v>95.525</v>
      </c>
      <c r="L438" s="55">
        <v>97.808</v>
      </c>
      <c r="M438" s="55">
        <v>92.237</v>
      </c>
      <c r="N438" s="56"/>
    </row>
    <row r="439" ht="15.75" customHeight="1">
      <c r="A439" s="16">
        <v>44682.0</v>
      </c>
      <c r="B439" s="55">
        <v>89.68</v>
      </c>
      <c r="C439" s="55">
        <v>19.0</v>
      </c>
      <c r="D439" s="55">
        <v>23.0</v>
      </c>
      <c r="E439" s="55">
        <v>-2.0</v>
      </c>
      <c r="F439" s="55">
        <v>-61.0</v>
      </c>
      <c r="G439" s="55">
        <v>-27.0</v>
      </c>
      <c r="H439" s="55">
        <v>-9.6</v>
      </c>
      <c r="I439" s="55">
        <v>91.689</v>
      </c>
      <c r="J439" s="55">
        <v>99.178</v>
      </c>
      <c r="K439" s="55">
        <v>89.954</v>
      </c>
      <c r="L439" s="55">
        <v>88.402</v>
      </c>
      <c r="M439" s="55">
        <v>85.662</v>
      </c>
      <c r="N439" s="56"/>
    </row>
    <row r="440" ht="15.75" customHeight="1">
      <c r="A440" s="10">
        <v>44713.0</v>
      </c>
      <c r="B440" s="55">
        <v>89.863</v>
      </c>
      <c r="C440" s="55">
        <v>20.0</v>
      </c>
      <c r="D440" s="55">
        <v>23.0</v>
      </c>
      <c r="E440" s="55">
        <v>1.0</v>
      </c>
      <c r="F440" s="55">
        <v>-54.0</v>
      </c>
      <c r="G440" s="55">
        <v>-28.0</v>
      </c>
      <c r="H440" s="55">
        <v>-7.6</v>
      </c>
      <c r="I440" s="55">
        <v>91.324</v>
      </c>
      <c r="J440" s="55">
        <v>93.516</v>
      </c>
      <c r="K440" s="55">
        <v>90.228</v>
      </c>
      <c r="L440" s="55">
        <v>92.968</v>
      </c>
      <c r="M440" s="55">
        <v>85.662</v>
      </c>
      <c r="N440" s="56"/>
    </row>
    <row r="441" ht="15.75" customHeight="1">
      <c r="A441" s="16">
        <v>44743.0</v>
      </c>
      <c r="B441" s="55">
        <v>91.781</v>
      </c>
      <c r="C441" s="55">
        <v>21.0</v>
      </c>
      <c r="D441" s="55">
        <v>24.0</v>
      </c>
      <c r="E441" s="55">
        <v>3.0</v>
      </c>
      <c r="F441" s="55">
        <v>-42.0</v>
      </c>
      <c r="G441" s="55">
        <v>-17.0</v>
      </c>
      <c r="H441" s="55">
        <v>-2.2</v>
      </c>
      <c r="I441" s="55">
        <v>92.511</v>
      </c>
      <c r="J441" s="55">
        <v>94.064</v>
      </c>
      <c r="K441" s="55">
        <v>92.146</v>
      </c>
      <c r="L441" s="55">
        <v>88.95</v>
      </c>
      <c r="M441" s="55">
        <v>89.772</v>
      </c>
      <c r="N441" s="56"/>
    </row>
    <row r="442" ht="15.75" customHeight="1">
      <c r="A442" s="10">
        <v>44774.0</v>
      </c>
      <c r="B442" s="55">
        <v>92.055</v>
      </c>
      <c r="C442" s="55">
        <v>23.0</v>
      </c>
      <c r="D442" s="55">
        <v>23.0</v>
      </c>
      <c r="E442" s="55">
        <v>0.0</v>
      </c>
      <c r="F442" s="55">
        <v>-43.0</v>
      </c>
      <c r="G442" s="55">
        <v>-10.0</v>
      </c>
      <c r="H442" s="55">
        <v>-1.4</v>
      </c>
      <c r="I442" s="55">
        <v>91.416</v>
      </c>
      <c r="J442" s="55">
        <v>95.16</v>
      </c>
      <c r="K442" s="55">
        <v>99.726</v>
      </c>
      <c r="L442" s="55">
        <v>85.388</v>
      </c>
      <c r="M442" s="55">
        <v>90.685</v>
      </c>
      <c r="N442" s="56"/>
    </row>
    <row r="443" ht="15.75" customHeight="1">
      <c r="A443" s="16">
        <v>44805.0</v>
      </c>
      <c r="B443" s="55">
        <v>91.142</v>
      </c>
      <c r="C443" s="55">
        <v>20.0</v>
      </c>
      <c r="D443" s="55">
        <v>23.0</v>
      </c>
      <c r="E443" s="55">
        <v>1.0</v>
      </c>
      <c r="F443" s="55">
        <v>-46.0</v>
      </c>
      <c r="G443" s="55">
        <v>-14.0</v>
      </c>
      <c r="H443" s="55">
        <v>-3.2</v>
      </c>
      <c r="I443" s="55">
        <v>96.438</v>
      </c>
      <c r="J443" s="55">
        <v>91.781</v>
      </c>
      <c r="K443" s="55">
        <v>94.429</v>
      </c>
      <c r="L443" s="55">
        <v>84.658</v>
      </c>
      <c r="M443" s="55">
        <v>88.767</v>
      </c>
      <c r="N443" s="56"/>
    </row>
    <row r="444" ht="15.75" customHeight="1">
      <c r="A444" s="10">
        <v>44835.0</v>
      </c>
      <c r="B444" s="55">
        <v>91.872</v>
      </c>
      <c r="C444" s="55">
        <v>17.0</v>
      </c>
      <c r="D444" s="55">
        <v>25.0</v>
      </c>
      <c r="E444" s="55">
        <v>-4.0</v>
      </c>
      <c r="F444" s="55">
        <v>-44.0</v>
      </c>
      <c r="G444" s="55">
        <v>-9.0</v>
      </c>
      <c r="H444" s="55">
        <v>-3.0</v>
      </c>
      <c r="I444" s="55">
        <v>93.699</v>
      </c>
      <c r="J444" s="55">
        <v>91.416</v>
      </c>
      <c r="K444" s="55">
        <v>99.087</v>
      </c>
      <c r="L444" s="55">
        <v>94.612</v>
      </c>
      <c r="M444" s="55">
        <v>87.306</v>
      </c>
      <c r="N444" s="56"/>
    </row>
    <row r="445" ht="15.75" customHeight="1">
      <c r="A445" s="16">
        <v>44866.0</v>
      </c>
      <c r="B445" s="55">
        <v>89.772</v>
      </c>
      <c r="C445" s="55">
        <v>16.0</v>
      </c>
      <c r="D445" s="55">
        <v>23.0</v>
      </c>
      <c r="E445" s="55">
        <v>-4.0</v>
      </c>
      <c r="F445" s="55">
        <v>-52.0</v>
      </c>
      <c r="G445" s="55">
        <v>-11.0</v>
      </c>
      <c r="H445" s="55">
        <v>-5.6</v>
      </c>
      <c r="I445" s="55">
        <v>89.315</v>
      </c>
      <c r="J445" s="55">
        <v>92.146</v>
      </c>
      <c r="K445" s="55">
        <v>92.694</v>
      </c>
      <c r="L445" s="55">
        <v>91.05</v>
      </c>
      <c r="M445" s="55">
        <v>86.667</v>
      </c>
      <c r="N445" s="56"/>
    </row>
    <row r="446" ht="15.75" customHeight="1">
      <c r="A446" s="10">
        <v>44896.0</v>
      </c>
      <c r="B446" s="55">
        <v>90.411</v>
      </c>
      <c r="C446" s="55">
        <v>19.0</v>
      </c>
      <c r="D446" s="55">
        <v>21.0</v>
      </c>
      <c r="E446" s="55">
        <v>-8.0</v>
      </c>
      <c r="F446" s="55">
        <v>-45.0</v>
      </c>
      <c r="G446" s="55">
        <v>-14.0</v>
      </c>
      <c r="H446" s="55">
        <v>-5.4</v>
      </c>
      <c r="I446" s="55">
        <v>93.425</v>
      </c>
      <c r="J446" s="55">
        <v>92.146</v>
      </c>
      <c r="K446" s="55">
        <v>89.772</v>
      </c>
      <c r="L446" s="55">
        <v>90.502</v>
      </c>
      <c r="M446" s="55">
        <v>88.037</v>
      </c>
      <c r="N446" s="56"/>
    </row>
    <row r="447" ht="15.75" customHeight="1">
      <c r="A447" s="16">
        <v>44927.0</v>
      </c>
      <c r="B447" s="55">
        <v>90.959</v>
      </c>
      <c r="C447" s="55">
        <v>18.0</v>
      </c>
      <c r="D447" s="55">
        <v>21.0</v>
      </c>
      <c r="E447" s="55">
        <v>-6.0</v>
      </c>
      <c r="F447" s="55">
        <v>-47.0</v>
      </c>
      <c r="G447" s="55">
        <v>-10.0</v>
      </c>
      <c r="H447" s="55">
        <v>-4.8</v>
      </c>
      <c r="I447" s="55">
        <v>91.416</v>
      </c>
      <c r="J447" s="55">
        <v>90.959</v>
      </c>
      <c r="K447" s="55">
        <v>92.603</v>
      </c>
      <c r="L447" s="55">
        <v>87.854</v>
      </c>
      <c r="M447" s="55">
        <v>87.945</v>
      </c>
      <c r="N447" s="56"/>
    </row>
    <row r="448" ht="15.75" customHeight="1">
      <c r="A448" s="10">
        <v>44958.0</v>
      </c>
      <c r="B448" s="55">
        <v>90.594</v>
      </c>
      <c r="C448" s="55">
        <v>16.0</v>
      </c>
      <c r="D448" s="55">
        <v>20.0</v>
      </c>
      <c r="E448" s="55">
        <v>-3.0</v>
      </c>
      <c r="F448" s="55">
        <v>-46.0</v>
      </c>
      <c r="G448" s="55">
        <v>-14.0</v>
      </c>
      <c r="H448" s="55">
        <v>-5.4</v>
      </c>
      <c r="I448" s="55">
        <v>91.598</v>
      </c>
      <c r="J448" s="55">
        <v>90.32</v>
      </c>
      <c r="K448" s="55">
        <v>91.416</v>
      </c>
      <c r="L448" s="55">
        <v>96.712</v>
      </c>
      <c r="M448" s="55">
        <v>89.863</v>
      </c>
      <c r="N448" s="56"/>
    </row>
    <row r="449" ht="15.75" customHeight="1">
      <c r="A449" s="16">
        <v>44986.0</v>
      </c>
      <c r="B449" s="55">
        <v>89.406</v>
      </c>
      <c r="C449" s="55">
        <v>18.0</v>
      </c>
      <c r="D449" s="55">
        <v>19.0</v>
      </c>
      <c r="E449" s="55">
        <v>-5.0</v>
      </c>
      <c r="F449" s="55">
        <v>-48.0</v>
      </c>
      <c r="G449" s="55">
        <v>-18.0</v>
      </c>
      <c r="H449" s="55">
        <v>-6.8</v>
      </c>
      <c r="I449" s="55">
        <v>90.868</v>
      </c>
      <c r="J449" s="55">
        <v>90.228</v>
      </c>
      <c r="K449" s="55">
        <v>93.973</v>
      </c>
      <c r="L449" s="55">
        <v>83.744</v>
      </c>
      <c r="M449" s="55">
        <v>87.215</v>
      </c>
      <c r="N449" s="56"/>
    </row>
    <row r="450" ht="15.75" customHeight="1">
      <c r="A450" s="10">
        <v>45017.0</v>
      </c>
      <c r="B450" s="55">
        <v>90.046</v>
      </c>
      <c r="C450" s="55">
        <v>19.0</v>
      </c>
      <c r="D450" s="55">
        <v>26.0</v>
      </c>
      <c r="E450" s="55">
        <v>-2.0</v>
      </c>
      <c r="F450" s="55">
        <v>-49.0</v>
      </c>
      <c r="G450" s="55">
        <v>-20.0</v>
      </c>
      <c r="H450" s="55">
        <v>-5.2</v>
      </c>
      <c r="I450" s="55">
        <v>91.689</v>
      </c>
      <c r="J450" s="55">
        <v>92.603</v>
      </c>
      <c r="K450" s="55">
        <v>87.945</v>
      </c>
      <c r="L450" s="55">
        <v>84.932</v>
      </c>
      <c r="M450" s="55">
        <v>87.945</v>
      </c>
      <c r="N450" s="56"/>
    </row>
    <row r="451" ht="15.75" customHeight="1">
      <c r="A451" s="16">
        <v>45047.0</v>
      </c>
      <c r="B451" s="55">
        <v>90.868</v>
      </c>
      <c r="C451" s="55">
        <v>15.0</v>
      </c>
      <c r="D451" s="55">
        <v>25.0</v>
      </c>
      <c r="E451" s="55">
        <v>-3.0</v>
      </c>
      <c r="F451" s="55">
        <v>-41.0</v>
      </c>
      <c r="G451" s="55">
        <v>-14.0</v>
      </c>
      <c r="H451" s="55">
        <v>-3.6</v>
      </c>
      <c r="I451" s="55">
        <v>95.342</v>
      </c>
      <c r="J451" s="55">
        <v>94.977</v>
      </c>
      <c r="K451" s="55">
        <v>92.511</v>
      </c>
      <c r="L451" s="55">
        <v>91.963</v>
      </c>
      <c r="M451" s="55">
        <v>88.584</v>
      </c>
      <c r="N451" s="56"/>
    </row>
    <row r="452" ht="15.75" customHeight="1">
      <c r="A452" s="10">
        <v>45078.0</v>
      </c>
      <c r="B452" s="55">
        <v>92.055</v>
      </c>
      <c r="C452" s="55">
        <v>17.0</v>
      </c>
      <c r="D452" s="55">
        <v>27.0</v>
      </c>
      <c r="E452" s="55">
        <v>-2.0</v>
      </c>
      <c r="F452" s="55">
        <v>-31.0</v>
      </c>
      <c r="G452" s="55">
        <v>-11.0</v>
      </c>
      <c r="H452" s="55">
        <v>0.0</v>
      </c>
      <c r="I452" s="55">
        <v>95.068</v>
      </c>
      <c r="J452" s="55">
        <v>93.516</v>
      </c>
      <c r="K452" s="55">
        <v>91.142</v>
      </c>
      <c r="L452" s="55">
        <v>87.854</v>
      </c>
      <c r="M452" s="55">
        <v>90.228</v>
      </c>
      <c r="N452" s="56"/>
    </row>
    <row r="453" ht="15.75" customHeight="1">
      <c r="A453" s="16">
        <v>45108.0</v>
      </c>
      <c r="B453" s="55">
        <v>91.416</v>
      </c>
      <c r="C453" s="55">
        <v>17.0</v>
      </c>
      <c r="D453" s="55">
        <v>23.0</v>
      </c>
      <c r="E453" s="55">
        <v>-1.0</v>
      </c>
      <c r="F453" s="55">
        <v>-36.0</v>
      </c>
      <c r="G453" s="55">
        <v>-12.0</v>
      </c>
      <c r="H453" s="55">
        <v>-1.8</v>
      </c>
      <c r="I453" s="55">
        <v>95.16</v>
      </c>
      <c r="J453" s="55">
        <v>95.068</v>
      </c>
      <c r="K453" s="55">
        <v>92.511</v>
      </c>
      <c r="L453" s="55">
        <v>89.406</v>
      </c>
      <c r="M453" s="55">
        <v>89.224</v>
      </c>
      <c r="N453" s="56"/>
    </row>
    <row r="454" ht="15.75" customHeight="1">
      <c r="A454" s="10">
        <v>45139.0</v>
      </c>
      <c r="B454" s="55">
        <v>90.685</v>
      </c>
      <c r="C454" s="55">
        <v>18.0</v>
      </c>
      <c r="D454" s="55">
        <v>24.0</v>
      </c>
      <c r="E454" s="55">
        <v>-1.0</v>
      </c>
      <c r="F454" s="55">
        <v>-43.0</v>
      </c>
      <c r="G454" s="55">
        <v>-13.0</v>
      </c>
      <c r="H454" s="55">
        <v>-3.0</v>
      </c>
      <c r="I454" s="55">
        <v>94.612</v>
      </c>
      <c r="J454" s="55">
        <v>95.16</v>
      </c>
      <c r="K454" s="55">
        <v>88.493</v>
      </c>
      <c r="L454" s="55">
        <v>85.662</v>
      </c>
      <c r="M454" s="55">
        <v>91.142</v>
      </c>
      <c r="N454" s="56"/>
    </row>
    <row r="455" ht="15.75" customHeight="1">
      <c r="A455" s="17">
        <v>45200.0</v>
      </c>
      <c r="B455" s="55">
        <v>90.685</v>
      </c>
      <c r="C455" s="55">
        <v>17.0</v>
      </c>
      <c r="D455" s="55">
        <v>24.0</v>
      </c>
      <c r="E455" s="55">
        <v>-1.0</v>
      </c>
      <c r="F455" s="55">
        <v>-43.0</v>
      </c>
      <c r="G455" s="55">
        <v>-11.0</v>
      </c>
      <c r="H455" s="55">
        <v>-2.8</v>
      </c>
      <c r="I455" s="55">
        <v>94.155</v>
      </c>
      <c r="J455" s="55">
        <v>90.046</v>
      </c>
      <c r="K455" s="55">
        <v>94.429</v>
      </c>
      <c r="L455" s="55">
        <v>88.311</v>
      </c>
      <c r="M455" s="55">
        <v>89.406</v>
      </c>
      <c r="N455" s="56"/>
    </row>
    <row r="456" ht="15.75" customHeight="1">
      <c r="A456" s="16">
        <v>45231.0</v>
      </c>
      <c r="B456" s="55">
        <v>90.32</v>
      </c>
      <c r="C456" s="55">
        <v>17.0</v>
      </c>
      <c r="D456" s="55">
        <v>23.0</v>
      </c>
      <c r="E456" s="55">
        <v>-4.0</v>
      </c>
      <c r="F456" s="55">
        <v>-43.0</v>
      </c>
      <c r="G456" s="55">
        <v>-9.0</v>
      </c>
      <c r="H456" s="55">
        <v>-3.2</v>
      </c>
      <c r="I456" s="55">
        <v>93.059</v>
      </c>
      <c r="J456" s="55">
        <v>90.868</v>
      </c>
      <c r="K456" s="55">
        <v>93.151</v>
      </c>
      <c r="L456" s="55">
        <v>86.393</v>
      </c>
      <c r="M456" s="55">
        <v>86.484</v>
      </c>
      <c r="N456" s="56"/>
    </row>
    <row r="457" ht="15.75" customHeight="1">
      <c r="A457" s="10">
        <v>45261.0</v>
      </c>
      <c r="B457" s="55">
        <v>91.598</v>
      </c>
      <c r="C457" s="55">
        <v>15.0</v>
      </c>
      <c r="D457" s="55">
        <v>24.0</v>
      </c>
      <c r="E457" s="55">
        <v>-5.0</v>
      </c>
      <c r="F457" s="55">
        <v>-37.0</v>
      </c>
      <c r="G457" s="55">
        <v>-5.0</v>
      </c>
      <c r="H457" s="55">
        <v>-1.6</v>
      </c>
      <c r="I457" s="55">
        <v>94.338</v>
      </c>
      <c r="J457" s="55">
        <v>88.037</v>
      </c>
      <c r="K457" s="55">
        <v>96.986</v>
      </c>
      <c r="L457" s="55">
        <v>87.306</v>
      </c>
      <c r="M457" s="55">
        <v>90.228</v>
      </c>
      <c r="N457" s="56"/>
    </row>
    <row r="458" ht="15.75" customHeight="1">
      <c r="A458" s="16">
        <v>45292.0</v>
      </c>
      <c r="B458" s="55">
        <v>90.046</v>
      </c>
      <c r="C458" s="55">
        <v>15.0</v>
      </c>
      <c r="D458" s="55">
        <v>23.0</v>
      </c>
      <c r="E458" s="55">
        <v>-3.0</v>
      </c>
      <c r="F458" s="55">
        <v>-38.0</v>
      </c>
      <c r="G458" s="55">
        <v>-17.0</v>
      </c>
      <c r="H458" s="55">
        <v>-4.0</v>
      </c>
      <c r="I458" s="55">
        <v>93.516</v>
      </c>
      <c r="J458" s="55">
        <v>89.954</v>
      </c>
      <c r="K458" s="55">
        <v>86.21</v>
      </c>
      <c r="L458" s="55">
        <v>90.959</v>
      </c>
      <c r="M458" s="55">
        <v>88.311</v>
      </c>
      <c r="N458" s="56"/>
    </row>
    <row r="459" ht="15.75" customHeight="1">
      <c r="A459" s="10">
        <v>45323.0</v>
      </c>
      <c r="B459" s="55">
        <v>89.498</v>
      </c>
      <c r="C459" s="55">
        <v>12.0</v>
      </c>
      <c r="D459" s="55">
        <v>20.0</v>
      </c>
      <c r="E459" s="55">
        <v>-6.0</v>
      </c>
      <c r="F459" s="55">
        <v>-39.0</v>
      </c>
      <c r="G459" s="55">
        <v>-9.0</v>
      </c>
      <c r="H459" s="55">
        <v>-4.4</v>
      </c>
      <c r="I459" s="55">
        <v>91.689</v>
      </c>
      <c r="J459" s="55">
        <v>91.142</v>
      </c>
      <c r="K459" s="55">
        <v>86.575</v>
      </c>
      <c r="L459" s="55">
        <v>97.534</v>
      </c>
      <c r="M459" s="55">
        <v>85.297</v>
      </c>
      <c r="N459" s="56"/>
    </row>
    <row r="460" ht="15.75" customHeight="1">
      <c r="A460" s="16">
        <v>45352.0</v>
      </c>
      <c r="B460" s="55">
        <v>88.95</v>
      </c>
      <c r="C460" s="55">
        <v>12.0</v>
      </c>
      <c r="D460" s="55">
        <v>20.0</v>
      </c>
      <c r="E460" s="55">
        <v>-8.0</v>
      </c>
      <c r="F460" s="55">
        <v>-35.0</v>
      </c>
      <c r="G460" s="55">
        <v>-16.0</v>
      </c>
      <c r="H460" s="55">
        <v>-5.4</v>
      </c>
      <c r="I460" s="55">
        <v>88.493</v>
      </c>
      <c r="J460" s="55">
        <v>94.429</v>
      </c>
      <c r="K460" s="55">
        <v>95.708</v>
      </c>
      <c r="L460" s="55">
        <v>88.767</v>
      </c>
      <c r="M460" s="55">
        <v>84.84</v>
      </c>
      <c r="N460" s="56"/>
    </row>
    <row r="461" ht="15.75" customHeight="1">
      <c r="A461" s="10">
        <v>45383.0</v>
      </c>
      <c r="B461" s="55">
        <v>90.228</v>
      </c>
      <c r="C461" s="55">
        <v>13.0</v>
      </c>
      <c r="D461" s="55">
        <v>22.0</v>
      </c>
      <c r="E461" s="55">
        <v>-6.0</v>
      </c>
      <c r="F461" s="55">
        <v>-36.0</v>
      </c>
      <c r="G461" s="55">
        <v>-12.0</v>
      </c>
      <c r="H461" s="55">
        <v>-3.8</v>
      </c>
      <c r="I461" s="55">
        <v>92.329</v>
      </c>
      <c r="J461" s="55">
        <v>89.589</v>
      </c>
      <c r="K461" s="55">
        <v>91.05</v>
      </c>
      <c r="L461" s="55">
        <v>89.132</v>
      </c>
      <c r="M461" s="55">
        <v>88.493</v>
      </c>
      <c r="N461" s="56"/>
    </row>
    <row r="462" ht="15.75" customHeight="1">
      <c r="A462" s="19">
        <v>45413.0</v>
      </c>
      <c r="B462" s="55">
        <v>90.776</v>
      </c>
      <c r="C462" s="55">
        <v>15.0</v>
      </c>
      <c r="D462" s="55">
        <v>23.0</v>
      </c>
      <c r="E462" s="55">
        <v>-6.0</v>
      </c>
      <c r="F462" s="55">
        <v>-30.0</v>
      </c>
      <c r="G462" s="55">
        <v>-13.0</v>
      </c>
      <c r="H462" s="55">
        <v>-2.2</v>
      </c>
      <c r="I462" s="55">
        <v>92.237</v>
      </c>
      <c r="J462" s="55">
        <v>92.968</v>
      </c>
      <c r="K462" s="55">
        <v>84.658</v>
      </c>
      <c r="L462" s="55">
        <v>91.233</v>
      </c>
      <c r="M462" s="55">
        <v>87.489</v>
      </c>
      <c r="N462" s="56"/>
    </row>
    <row r="463" ht="15.75" customHeight="1">
      <c r="A463" s="10">
        <v>45444.0</v>
      </c>
      <c r="B463" s="55">
        <v>91.507</v>
      </c>
      <c r="C463" s="55">
        <v>15.0</v>
      </c>
      <c r="D463" s="55">
        <v>23.0</v>
      </c>
      <c r="E463" s="55">
        <v>-2.0</v>
      </c>
      <c r="F463" s="55">
        <v>-25.0</v>
      </c>
      <c r="G463" s="55">
        <v>-12.0</v>
      </c>
      <c r="H463" s="55">
        <v>-0.2</v>
      </c>
      <c r="I463" s="55">
        <v>91.963</v>
      </c>
      <c r="J463" s="55">
        <v>93.425</v>
      </c>
      <c r="K463" s="55">
        <v>90.046</v>
      </c>
      <c r="L463" s="55">
        <v>92.055</v>
      </c>
      <c r="M463" s="55">
        <v>90.959</v>
      </c>
      <c r="N463" s="56"/>
    </row>
    <row r="464" ht="15.75" customHeight="1">
      <c r="A464" s="16">
        <v>45474.0</v>
      </c>
      <c r="B464" s="55">
        <v>93.79</v>
      </c>
      <c r="C464" s="55">
        <v>15.0</v>
      </c>
      <c r="D464" s="55">
        <v>23.0</v>
      </c>
      <c r="E464" s="55">
        <v>2.0</v>
      </c>
      <c r="F464" s="55">
        <v>-8.0</v>
      </c>
      <c r="G464" s="55">
        <v>-8.0</v>
      </c>
      <c r="H464" s="55">
        <v>4.8</v>
      </c>
      <c r="I464" s="55">
        <v>98.447</v>
      </c>
      <c r="J464" s="55">
        <v>93.151</v>
      </c>
      <c r="K464" s="55">
        <v>92.511</v>
      </c>
      <c r="L464" s="55">
        <v>94.521</v>
      </c>
      <c r="M464" s="55">
        <v>91.05</v>
      </c>
      <c r="N464" s="56"/>
    </row>
    <row r="465" ht="15.75" customHeight="1">
      <c r="A465" s="10">
        <v>45505.0</v>
      </c>
      <c r="B465" s="55">
        <v>91.233</v>
      </c>
      <c r="C465" s="55">
        <v>13.0</v>
      </c>
      <c r="D465" s="55">
        <v>23.0</v>
      </c>
      <c r="E465" s="55">
        <v>-2.0</v>
      </c>
      <c r="F465" s="55">
        <v>-11.0</v>
      </c>
      <c r="G465" s="55">
        <v>-17.0</v>
      </c>
      <c r="H465" s="55">
        <v>1.2</v>
      </c>
      <c r="I465" s="55">
        <v>93.425</v>
      </c>
      <c r="J465" s="55">
        <v>92.694</v>
      </c>
      <c r="K465" s="55">
        <v>88.676</v>
      </c>
      <c r="L465" s="55">
        <v>88.676</v>
      </c>
      <c r="M465" s="55">
        <v>90.411</v>
      </c>
      <c r="N465" s="56"/>
    </row>
    <row r="466" ht="15.75" customHeight="1">
      <c r="A466" s="16">
        <v>45536.0</v>
      </c>
      <c r="B466" s="55">
        <v>91.324</v>
      </c>
      <c r="C466" s="55">
        <v>14.0</v>
      </c>
      <c r="D466" s="55">
        <v>19.0</v>
      </c>
      <c r="E466" s="55">
        <v>-3.0</v>
      </c>
      <c r="F466" s="55">
        <v>-13.0</v>
      </c>
      <c r="G466" s="55">
        <v>-9.0</v>
      </c>
      <c r="H466" s="55">
        <v>1.6</v>
      </c>
      <c r="I466" s="55">
        <v>94.795</v>
      </c>
      <c r="J466" s="55">
        <v>94.886</v>
      </c>
      <c r="K466" s="55">
        <v>91.963</v>
      </c>
      <c r="L466" s="55">
        <v>86.484</v>
      </c>
      <c r="M466" s="55">
        <v>89.041</v>
      </c>
      <c r="N466" s="56"/>
    </row>
    <row r="467" ht="15.75" customHeight="1">
      <c r="A467" s="17">
        <v>45566.0</v>
      </c>
      <c r="B467" s="55">
        <v>93.699</v>
      </c>
      <c r="C467" s="55">
        <v>15.0</v>
      </c>
      <c r="D467" s="55">
        <v>22.0</v>
      </c>
      <c r="E467" s="55">
        <v>-3.0</v>
      </c>
      <c r="F467" s="55">
        <v>-5.0</v>
      </c>
      <c r="G467" s="55">
        <v>-5.0</v>
      </c>
      <c r="H467" s="55">
        <v>4.8</v>
      </c>
      <c r="I467" s="55">
        <v>97.534</v>
      </c>
      <c r="J467" s="55">
        <v>91.324</v>
      </c>
      <c r="K467" s="55">
        <v>92.968</v>
      </c>
      <c r="L467" s="55">
        <v>94.612</v>
      </c>
      <c r="M467" s="55">
        <v>91.689</v>
      </c>
      <c r="N467" s="56"/>
    </row>
    <row r="468" ht="15.75" customHeight="1">
      <c r="A468" s="16">
        <v>45597.0</v>
      </c>
      <c r="B468" s="55">
        <v>101.279</v>
      </c>
      <c r="C468" s="55">
        <v>17.0</v>
      </c>
      <c r="D468" s="55">
        <v>27.0</v>
      </c>
      <c r="E468" s="55">
        <v>1.0</v>
      </c>
      <c r="F468" s="55">
        <v>34.0</v>
      </c>
      <c r="G468" s="55">
        <v>13.0</v>
      </c>
      <c r="H468" s="55">
        <v>18.4</v>
      </c>
      <c r="I468" s="55">
        <v>107.671</v>
      </c>
      <c r="J468" s="55">
        <v>104.384</v>
      </c>
      <c r="K468" s="55">
        <v>102.192</v>
      </c>
      <c r="L468" s="55">
        <v>100.639</v>
      </c>
      <c r="M468" s="55">
        <v>97.534</v>
      </c>
      <c r="N468" s="56"/>
    </row>
    <row r="469" ht="15.75" customHeight="1">
      <c r="A469" s="17">
        <v>45627.0</v>
      </c>
      <c r="B469" s="55">
        <v>104.658</v>
      </c>
      <c r="C469" s="55">
        <v>18.0</v>
      </c>
      <c r="D469" s="55">
        <v>27.0</v>
      </c>
      <c r="E469" s="55">
        <v>5.0</v>
      </c>
      <c r="F469" s="55">
        <v>50.0</v>
      </c>
      <c r="G469" s="55">
        <v>21.0</v>
      </c>
      <c r="H469" s="55">
        <v>24.2</v>
      </c>
      <c r="I469" s="55">
        <v>106.941</v>
      </c>
      <c r="J469" s="55">
        <v>107.854</v>
      </c>
      <c r="K469" s="55">
        <v>111.963</v>
      </c>
      <c r="L469" s="55">
        <v>106.575</v>
      </c>
      <c r="M469" s="55">
        <v>102.283</v>
      </c>
      <c r="N469" s="56"/>
    </row>
    <row r="470" ht="15.75" customHeight="1">
      <c r="A470" s="16">
        <v>45658.0</v>
      </c>
      <c r="B470" s="55">
        <v>102.8</v>
      </c>
      <c r="C470" s="55">
        <v>18.0</v>
      </c>
      <c r="D470" s="55">
        <v>20.0</v>
      </c>
      <c r="E470" s="55">
        <v>0.0</v>
      </c>
      <c r="F470" s="55">
        <v>47.0</v>
      </c>
      <c r="G470" s="55">
        <v>18.0</v>
      </c>
      <c r="H470" s="55">
        <v>20.6</v>
      </c>
      <c r="I470" s="55">
        <v>105.114</v>
      </c>
      <c r="J470" s="55">
        <v>106.119</v>
      </c>
      <c r="K470" s="55">
        <v>103.196</v>
      </c>
      <c r="L470" s="55">
        <v>108.128</v>
      </c>
      <c r="M470" s="55">
        <v>100.0</v>
      </c>
      <c r="N470" s="56"/>
    </row>
    <row r="471" ht="15.75" customHeight="1">
      <c r="A471" s="17">
        <v>45689.0</v>
      </c>
      <c r="B471" s="55">
        <v>100.7</v>
      </c>
      <c r="C471" s="55">
        <v>16.0</v>
      </c>
      <c r="D471" s="55">
        <v>19.0</v>
      </c>
      <c r="E471" s="55">
        <v>0.0</v>
      </c>
      <c r="F471" s="55">
        <v>35.0</v>
      </c>
      <c r="G471" s="55">
        <v>13.0</v>
      </c>
      <c r="H471" s="55">
        <v>16.6</v>
      </c>
      <c r="I471" s="55">
        <v>106.667</v>
      </c>
      <c r="J471" s="55">
        <v>102.374</v>
      </c>
      <c r="K471" s="55">
        <v>98.63</v>
      </c>
      <c r="L471" s="55">
        <v>107.56</v>
      </c>
      <c r="M471" s="55">
        <v>101.2</v>
      </c>
      <c r="N471" s="56"/>
    </row>
    <row r="472" ht="15.75" customHeight="1">
      <c r="A472" s="16">
        <v>45717.0</v>
      </c>
      <c r="B472" s="55">
        <v>97.4</v>
      </c>
      <c r="C472" s="55">
        <v>13.0</v>
      </c>
      <c r="D472" s="55">
        <v>22.0</v>
      </c>
      <c r="E472" s="55">
        <v>0.0</v>
      </c>
      <c r="F472" s="55">
        <v>22.0</v>
      </c>
      <c r="G472" s="55">
        <v>4.0</v>
      </c>
      <c r="H472" s="55">
        <v>12.2</v>
      </c>
      <c r="I472" s="55">
        <v>101.735</v>
      </c>
      <c r="J472" s="55">
        <v>98.63</v>
      </c>
      <c r="K472" s="55">
        <v>98.813</v>
      </c>
      <c r="L472" s="55">
        <v>102.465</v>
      </c>
      <c r="M472" s="55">
        <v>100.32</v>
      </c>
      <c r="N472" s="56"/>
    </row>
    <row r="473" ht="15.75" customHeight="1">
      <c r="A473" s="17">
        <v>45748.0</v>
      </c>
      <c r="B473" s="55">
        <v>96.34</v>
      </c>
      <c r="C473" s="55">
        <v>14.0</v>
      </c>
      <c r="D473" s="55">
        <v>18.0</v>
      </c>
      <c r="E473" s="55">
        <v>-3.0</v>
      </c>
      <c r="F473" s="55">
        <v>16.0</v>
      </c>
      <c r="G473" s="55">
        <v>0.0</v>
      </c>
      <c r="H473" s="55">
        <v>9.0</v>
      </c>
      <c r="I473" s="55">
        <v>97.6</v>
      </c>
      <c r="J473" s="55">
        <v>97.23</v>
      </c>
      <c r="K473" s="55">
        <v>98.2</v>
      </c>
      <c r="L473" s="55">
        <v>99.65</v>
      </c>
      <c r="M473" s="55">
        <v>99.6</v>
      </c>
      <c r="N473" s="56"/>
    </row>
    <row r="474" ht="15.75" customHeight="1">
      <c r="A474" s="16">
        <v>45778.0</v>
      </c>
      <c r="B474" s="55">
        <v>98.0</v>
      </c>
      <c r="C474" s="55">
        <v>12.0</v>
      </c>
      <c r="D474" s="55">
        <v>22.0</v>
      </c>
      <c r="E474" s="55">
        <v>-1.0</v>
      </c>
      <c r="F474" s="55">
        <v>25.0</v>
      </c>
      <c r="G474" s="55">
        <v>8.0</v>
      </c>
      <c r="H474" s="55">
        <v>13.2</v>
      </c>
      <c r="I474" s="55">
        <v>97.4</v>
      </c>
      <c r="J474" s="55">
        <v>96.35</v>
      </c>
      <c r="K474" s="55">
        <v>95.3</v>
      </c>
      <c r="L474" s="55">
        <v>97.28</v>
      </c>
      <c r="M474" s="55">
        <v>95.23</v>
      </c>
      <c r="N474" s="56"/>
    </row>
    <row r="475" ht="15.75" customHeight="1">
      <c r="A475" s="17">
        <v>45809.0</v>
      </c>
      <c r="B475" s="55">
        <v>98.5</v>
      </c>
      <c r="C475" s="55">
        <v>14.0</v>
      </c>
      <c r="D475" s="55">
        <v>21.0</v>
      </c>
      <c r="E475" s="55">
        <v>-1.0</v>
      </c>
      <c r="F475" s="55">
        <v>21.0</v>
      </c>
      <c r="G475" s="55">
        <v>7.0</v>
      </c>
      <c r="H475" s="55">
        <f>AVERAGE(SMB!$C475:$G475)</f>
        <v>12.4</v>
      </c>
      <c r="I475" s="55">
        <v>99.63</v>
      </c>
      <c r="J475" s="55">
        <v>97.57</v>
      </c>
      <c r="K475" s="55">
        <v>94.13</v>
      </c>
      <c r="L475" s="55">
        <v>92.53</v>
      </c>
      <c r="M475" s="55">
        <v>92.69</v>
      </c>
      <c r="N475" s="56"/>
    </row>
    <row r="476" ht="15.75" customHeight="1">
      <c r="A476" s="16">
        <v>45839.0</v>
      </c>
      <c r="B476" s="55">
        <v>100.6</v>
      </c>
      <c r="C476" s="55">
        <v>14.0</v>
      </c>
      <c r="D476" s="55">
        <v>22.0</v>
      </c>
      <c r="E476" s="55">
        <v>1.0</v>
      </c>
      <c r="F476" s="55">
        <v>36.0</v>
      </c>
      <c r="G476" s="55">
        <v>7.0</v>
      </c>
      <c r="H476" s="55">
        <f>AVERAGE(SMB!$C476:$G476)</f>
        <v>16</v>
      </c>
      <c r="I476" s="55">
        <v>103.62</v>
      </c>
      <c r="J476" s="55">
        <v>106.62</v>
      </c>
      <c r="K476" s="55">
        <v>99.72</v>
      </c>
      <c r="L476" s="55">
        <v>106.4</v>
      </c>
      <c r="M476" s="55">
        <v>95.9</v>
      </c>
      <c r="N476" s="56"/>
    </row>
    <row r="477" ht="15.75" customHeight="1">
      <c r="A477" s="17">
        <v>45870.0</v>
      </c>
      <c r="B477" s="55">
        <v>100.9</v>
      </c>
      <c r="C477" s="55">
        <v>15.0</v>
      </c>
      <c r="D477" s="55">
        <v>20.0</v>
      </c>
      <c r="E477" s="55">
        <v>0.0</v>
      </c>
      <c r="F477" s="55">
        <v>34.0</v>
      </c>
      <c r="G477" s="55">
        <v>11.0</v>
      </c>
      <c r="H477" s="55">
        <f>AVERAGE(SMB!$C477:$G477)</f>
        <v>16</v>
      </c>
      <c r="I477" s="55">
        <v>104.71</v>
      </c>
      <c r="J477" s="55">
        <v>108.19</v>
      </c>
      <c r="K477" s="55">
        <v>100.9</v>
      </c>
      <c r="L477" s="55">
        <v>94.43</v>
      </c>
      <c r="M477" s="55">
        <v>96.22</v>
      </c>
      <c r="N477" s="56"/>
    </row>
    <row r="478" ht="15.75" customHeight="1">
      <c r="A478" s="16">
        <v>45901.0</v>
      </c>
      <c r="B478" s="55">
        <v>98.3</v>
      </c>
      <c r="C478" s="55">
        <v>16.0</v>
      </c>
      <c r="D478" s="55">
        <v>20.0</v>
      </c>
      <c r="E478" s="55">
        <v>0.0</v>
      </c>
      <c r="F478" s="55">
        <v>22.0</v>
      </c>
      <c r="G478" s="55">
        <v>9.0</v>
      </c>
      <c r="H478" s="55">
        <f>AVERAGE(SMB!$C478:$G478)</f>
        <v>13.4</v>
      </c>
      <c r="I478" s="57">
        <v>105.0</v>
      </c>
      <c r="J478" s="55">
        <v>97.02</v>
      </c>
      <c r="K478" s="55">
        <v>100.52</v>
      </c>
      <c r="L478" s="55">
        <v>94.81</v>
      </c>
      <c r="M478" s="55">
        <v>99.71</v>
      </c>
      <c r="N478" s="56"/>
    </row>
    <row r="479" ht="15.75" customHeight="1">
      <c r="A479" s="17">
        <v>45931.0</v>
      </c>
      <c r="B479" s="57">
        <v>97.6</v>
      </c>
      <c r="C479" s="57">
        <v>15.0</v>
      </c>
      <c r="D479" s="57">
        <v>23.0</v>
      </c>
      <c r="E479" s="57">
        <v>-3.0</v>
      </c>
      <c r="F479" s="57">
        <v>18.0</v>
      </c>
      <c r="G479" s="57">
        <v>6.0</v>
      </c>
      <c r="H479" s="55">
        <f>AVERAGE(SMB!$C479:$G479)</f>
        <v>11.8</v>
      </c>
      <c r="I479" s="57">
        <v>106.14</v>
      </c>
      <c r="J479" s="57">
        <v>100.46</v>
      </c>
      <c r="K479" s="57">
        <v>101.86</v>
      </c>
      <c r="L479" s="57">
        <v>102.11</v>
      </c>
      <c r="M479" s="57">
        <v>95.08</v>
      </c>
      <c r="N479" s="56"/>
    </row>
    <row r="480" ht="15.75" customHeight="1">
      <c r="A480" s="16">
        <v>45962.0</v>
      </c>
      <c r="B480" s="58">
        <v>98.48</v>
      </c>
      <c r="C480" s="58">
        <v>19.0</v>
      </c>
      <c r="D480" s="58">
        <v>21.0</v>
      </c>
      <c r="E480" s="58">
        <v>-1.0</v>
      </c>
      <c r="F480" s="58">
        <v>13.0</v>
      </c>
      <c r="G480" s="58">
        <v>15.0</v>
      </c>
      <c r="H480" s="55">
        <f>AVERAGE(SMB!$C480:$G480)</f>
        <v>13.4</v>
      </c>
      <c r="I480" s="58">
        <v>102.92</v>
      </c>
      <c r="J480" s="58">
        <v>101.69</v>
      </c>
      <c r="K480" s="58">
        <v>104.53</v>
      </c>
      <c r="L480" s="58">
        <v>100.28</v>
      </c>
      <c r="M480" s="58">
        <v>97.8</v>
      </c>
      <c r="N480" s="56"/>
    </row>
    <row r="481" ht="15.75" customHeight="1">
      <c r="A481" s="17">
        <v>45992.0</v>
      </c>
      <c r="B481" s="58">
        <v>99.16</v>
      </c>
      <c r="C481" s="58">
        <v>17.0</v>
      </c>
      <c r="D481" s="58">
        <v>19.0</v>
      </c>
      <c r="E481" s="58">
        <v>0.0</v>
      </c>
      <c r="F481" s="58">
        <v>23.0</v>
      </c>
      <c r="G481" s="58">
        <v>9.0</v>
      </c>
      <c r="H481" s="55">
        <f>AVERAGE(SMB!$C481:$G481)</f>
        <v>13.6</v>
      </c>
      <c r="I481" s="58">
        <v>103.87</v>
      </c>
      <c r="J481" s="58">
        <v>101.52</v>
      </c>
      <c r="K481" s="58">
        <v>104.56</v>
      </c>
      <c r="L481" s="58">
        <v>100.99</v>
      </c>
      <c r="M481" s="58">
        <v>94.07</v>
      </c>
      <c r="N481" s="56"/>
    </row>
    <row r="482" ht="15.75" customHeight="1">
      <c r="A482" s="17">
        <v>46023.0</v>
      </c>
      <c r="B482" s="58">
        <v>98.66</v>
      </c>
      <c r="C482" s="58">
        <v>16.0</v>
      </c>
      <c r="D482" s="58">
        <v>18.0</v>
      </c>
      <c r="E482" s="58">
        <v>-4.0</v>
      </c>
      <c r="F482" s="58">
        <v>22.0</v>
      </c>
      <c r="G482" s="58">
        <v>14.0</v>
      </c>
      <c r="H482" s="55">
        <f>AVERAGE(SMB!$C482:$G482)</f>
        <v>13.2</v>
      </c>
      <c r="I482" s="56"/>
      <c r="J482" s="56"/>
      <c r="K482" s="56"/>
      <c r="L482" s="56"/>
      <c r="M482" s="56"/>
      <c r="N482" s="56"/>
    </row>
    <row r="483" ht="15.75" customHeight="1">
      <c r="A483" s="17">
        <v>46054.0</v>
      </c>
      <c r="B483" s="58">
        <v>98.73</v>
      </c>
      <c r="C483" s="58">
        <v>13.0</v>
      </c>
      <c r="D483" s="58">
        <v>17.0</v>
      </c>
      <c r="E483" s="58">
        <v>-1.0</v>
      </c>
      <c r="F483" s="58">
        <v>20.0</v>
      </c>
      <c r="G483" s="58">
        <v>8.0</v>
      </c>
      <c r="H483" s="55">
        <f>AVERAGE(SMB!$C483:$G483)</f>
        <v>11.4</v>
      </c>
      <c r="I483" s="56"/>
      <c r="J483" s="56"/>
      <c r="K483" s="56"/>
      <c r="L483" s="56"/>
      <c r="M483" s="56"/>
      <c r="N483" s="56"/>
    </row>
    <row r="484" ht="15.75" customHeight="1">
      <c r="A484" s="17">
        <v>46082.0</v>
      </c>
      <c r="B484" s="58">
        <v>96.0</v>
      </c>
      <c r="C484" s="58">
        <v>13.0</v>
      </c>
      <c r="D484" s="58">
        <v>17.0</v>
      </c>
      <c r="E484" s="58">
        <v>-5.0</v>
      </c>
      <c r="F484" s="58">
        <v>13.0</v>
      </c>
      <c r="G484" s="58">
        <v>8.0</v>
      </c>
      <c r="H484" s="55">
        <f>AVERAGE(SMB!$C484:$G484)</f>
        <v>9.2</v>
      </c>
      <c r="I484" s="56"/>
      <c r="J484" s="56"/>
      <c r="K484" s="56"/>
      <c r="L484" s="56"/>
      <c r="M484" s="56"/>
      <c r="N484" s="56"/>
    </row>
    <row r="485" ht="15.75" customHeight="1">
      <c r="A485" s="59">
        <v>46113.0</v>
      </c>
      <c r="B485" s="60">
        <v>95.5</v>
      </c>
      <c r="C485" s="56">
        <v>13.0</v>
      </c>
      <c r="D485" s="56">
        <v>17.0</v>
      </c>
      <c r="E485" s="56">
        <v>-3.0</v>
      </c>
      <c r="F485" s="56">
        <v>5.0</v>
      </c>
      <c r="G485" s="56">
        <v>2.0</v>
      </c>
      <c r="H485" s="55">
        <f>AVERAGE(SMB!$C485:$G485)</f>
        <v>6.8</v>
      </c>
      <c r="I485" s="56"/>
      <c r="J485" s="56"/>
      <c r="K485" s="56"/>
      <c r="L485" s="56"/>
      <c r="M485" s="56"/>
      <c r="N485" s="56"/>
    </row>
    <row r="486" ht="15.75" customHeight="1">
      <c r="A486" s="38">
        <v>46143.0</v>
      </c>
      <c r="B486" s="61">
        <v>94.4</v>
      </c>
      <c r="C486" s="61">
        <v>10.0</v>
      </c>
      <c r="D486" s="61">
        <v>16.0</v>
      </c>
      <c r="E486" s="61">
        <v>-1.0</v>
      </c>
      <c r="F486" s="61">
        <v>2.0</v>
      </c>
      <c r="G486" s="61">
        <v>0.0</v>
      </c>
      <c r="H486" s="55">
        <f>AVERAGE(SMB!$C486:$G486)</f>
        <v>5.4</v>
      </c>
      <c r="I486" s="62"/>
      <c r="J486" s="62"/>
      <c r="K486" s="62"/>
      <c r="L486" s="62"/>
      <c r="M486" s="62"/>
      <c r="N486" s="62"/>
    </row>
    <row r="487" ht="15.75" customHeight="1"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</row>
    <row r="488" ht="15.75" customHeight="1"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</row>
    <row r="489" ht="15.75" customHeight="1"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</row>
    <row r="490" ht="15.75" customHeight="1"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</row>
    <row r="491" ht="15.75" customHeight="1"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</row>
    <row r="492" ht="15.75" customHeight="1"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</row>
    <row r="493" ht="15.75" customHeight="1"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</row>
    <row r="494" ht="15.75" customHeight="1"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</row>
    <row r="495" ht="15.75" customHeight="1"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</row>
    <row r="496" ht="15.75" customHeight="1"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</row>
    <row r="497" ht="15.75" customHeight="1"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</row>
    <row r="498" ht="15.75" customHeight="1"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</row>
    <row r="499" ht="15.75" customHeight="1"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</row>
    <row r="500" ht="15.75" customHeight="1"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</row>
    <row r="501" ht="15.75" customHeight="1"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</row>
    <row r="502" ht="15.75" customHeight="1"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</row>
    <row r="503" ht="15.75" customHeight="1"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</row>
    <row r="504" ht="15.75" customHeight="1"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</row>
    <row r="505" ht="15.75" customHeight="1"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</row>
    <row r="506" ht="15.75" customHeight="1"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</row>
    <row r="507" ht="15.75" customHeight="1"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</row>
    <row r="508" ht="15.75" customHeight="1"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</row>
    <row r="509" ht="15.75" customHeight="1"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</row>
    <row r="510" ht="15.75" customHeight="1"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</row>
    <row r="511" ht="15.75" customHeight="1"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</row>
    <row r="512" ht="15.75" customHeight="1"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</row>
    <row r="513" ht="15.75" customHeight="1"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</row>
    <row r="514" ht="15.75" customHeight="1"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</row>
    <row r="515" ht="15.75" customHeight="1"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</row>
    <row r="516" ht="15.75" customHeight="1"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</row>
    <row r="517" ht="15.75" customHeight="1"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</row>
    <row r="518" ht="15.75" customHeight="1"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</row>
    <row r="519" ht="15.75" customHeight="1"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</row>
    <row r="520" ht="15.75" customHeight="1"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</row>
    <row r="521" ht="15.75" customHeight="1"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</row>
    <row r="522" ht="15.75" customHeight="1"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</row>
    <row r="523" ht="15.75" customHeight="1"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</row>
    <row r="524" ht="15.75" customHeight="1"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</row>
    <row r="525" ht="15.75" customHeight="1"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</row>
    <row r="526" ht="15.75" customHeight="1"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</row>
    <row r="527" ht="15.75" customHeight="1"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</row>
    <row r="528" ht="15.75" customHeight="1"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</row>
    <row r="529" ht="15.75" customHeight="1"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</row>
    <row r="530" ht="15.75" customHeight="1"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</row>
    <row r="531" ht="15.75" customHeight="1"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</row>
    <row r="532" ht="15.75" customHeight="1"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</row>
    <row r="533" ht="15.75" customHeight="1"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</row>
    <row r="534" ht="15.75" customHeight="1"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</row>
    <row r="535" ht="15.75" customHeight="1"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</row>
    <row r="536" ht="15.75" customHeight="1"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</row>
    <row r="537" ht="15.75" customHeight="1"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</row>
    <row r="538" ht="15.75" customHeight="1"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</row>
    <row r="539" ht="15.75" customHeight="1"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</row>
    <row r="540" ht="15.75" customHeight="1"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</row>
    <row r="541" ht="15.75" customHeight="1"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</row>
    <row r="542" ht="15.75" customHeight="1"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</row>
    <row r="543" ht="15.75" customHeight="1"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</row>
    <row r="544" ht="15.75" customHeight="1"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</row>
    <row r="545" ht="15.75" customHeight="1"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</row>
    <row r="546" ht="15.75" customHeight="1"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</row>
    <row r="547" ht="15.75" customHeight="1"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</row>
    <row r="548" ht="15.75" customHeight="1"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</row>
    <row r="549" ht="15.75" customHeight="1"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</row>
    <row r="550" ht="15.75" customHeight="1"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</row>
    <row r="551" ht="15.75" customHeight="1"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</row>
    <row r="552" ht="15.75" customHeight="1"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</row>
    <row r="553" ht="15.75" customHeight="1"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</row>
    <row r="554" ht="15.75" customHeight="1"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</row>
    <row r="555" ht="15.75" customHeight="1"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</row>
    <row r="556" ht="15.75" customHeight="1"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</row>
    <row r="557" ht="15.75" customHeight="1"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</row>
    <row r="558" ht="15.75" customHeight="1"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</row>
    <row r="559" ht="15.75" customHeight="1"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</row>
    <row r="560" ht="15.75" customHeight="1"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</row>
    <row r="561" ht="15.75" customHeight="1"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</row>
    <row r="562" ht="15.75" customHeight="1"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</row>
    <row r="563" ht="15.75" customHeight="1"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</row>
    <row r="564" ht="15.75" customHeight="1"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</row>
    <row r="565" ht="15.75" customHeight="1"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</row>
    <row r="566" ht="15.75" customHeight="1"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</row>
    <row r="567" ht="15.75" customHeight="1"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</row>
    <row r="568" ht="15.75" customHeight="1"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</row>
    <row r="569" ht="15.75" customHeight="1"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</row>
    <row r="570" ht="15.75" customHeight="1"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</row>
    <row r="571" ht="15.75" customHeight="1"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</row>
    <row r="572" ht="15.75" customHeight="1"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</row>
    <row r="573" ht="15.75" customHeight="1"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</row>
    <row r="574" ht="15.75" customHeight="1"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</row>
    <row r="575" ht="15.75" customHeight="1"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</row>
    <row r="576" ht="15.75" customHeight="1"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</row>
    <row r="577" ht="15.75" customHeight="1"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</row>
    <row r="578" ht="15.75" customHeight="1"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</row>
    <row r="579" ht="15.75" customHeight="1"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</row>
    <row r="580" ht="15.75" customHeight="1"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</row>
    <row r="581" ht="15.75" customHeight="1"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</row>
    <row r="582" ht="15.75" customHeight="1"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</row>
    <row r="583" ht="15.75" customHeight="1"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</row>
    <row r="584" ht="15.75" customHeight="1"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</row>
    <row r="585" ht="15.75" customHeight="1"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</row>
    <row r="586" ht="15.75" customHeight="1"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</row>
    <row r="587" ht="15.75" customHeight="1"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</row>
    <row r="588" ht="15.75" customHeight="1"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</row>
    <row r="589" ht="15.75" customHeight="1"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</row>
    <row r="590" ht="15.75" customHeight="1"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</row>
    <row r="591" ht="15.75" customHeight="1"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</row>
    <row r="592" ht="15.75" customHeight="1"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</row>
    <row r="593" ht="15.75" customHeight="1"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</row>
    <row r="594" ht="15.75" customHeight="1"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</row>
    <row r="595" ht="15.75" customHeight="1"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</row>
    <row r="596" ht="15.75" customHeight="1"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</row>
    <row r="597" ht="15.75" customHeight="1"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</row>
    <row r="598" ht="15.75" customHeight="1"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</row>
    <row r="599" ht="15.75" customHeight="1"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</row>
    <row r="600" ht="15.75" customHeight="1"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</row>
    <row r="601" ht="15.75" customHeight="1"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</row>
    <row r="602" ht="15.75" customHeight="1"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</row>
    <row r="603" ht="15.75" customHeight="1"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</row>
    <row r="604" ht="15.75" customHeight="1"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</row>
    <row r="605" ht="15.75" customHeight="1"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</row>
    <row r="606" ht="15.75" customHeight="1"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</row>
    <row r="607" ht="15.75" customHeight="1"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</row>
    <row r="608" ht="15.75" customHeight="1"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</row>
    <row r="609" ht="15.75" customHeight="1"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</row>
    <row r="610" ht="15.75" customHeight="1"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</row>
    <row r="611" ht="15.75" customHeight="1"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</row>
    <row r="612" ht="15.75" customHeight="1"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</row>
    <row r="613" ht="15.75" customHeight="1"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</row>
    <row r="614" ht="15.75" customHeight="1"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</row>
    <row r="615" ht="15.75" customHeight="1"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</row>
    <row r="616" ht="15.75" customHeight="1"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</row>
    <row r="617" ht="15.75" customHeight="1"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</row>
    <row r="618" ht="15.75" customHeight="1"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</row>
    <row r="619" ht="15.75" customHeight="1"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</row>
    <row r="620" ht="15.75" customHeight="1"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</row>
    <row r="621" ht="15.75" customHeight="1"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</row>
    <row r="622" ht="15.75" customHeight="1"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</row>
    <row r="623" ht="15.75" customHeight="1"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</row>
    <row r="624" ht="15.75" customHeight="1"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</row>
    <row r="625" ht="15.75" customHeight="1"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</row>
    <row r="626" ht="15.75" customHeight="1"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</row>
    <row r="627" ht="15.75" customHeight="1"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</row>
    <row r="628" ht="15.75" customHeight="1"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</row>
    <row r="629" ht="15.75" customHeight="1"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</row>
    <row r="630" ht="15.75" customHeight="1"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</row>
    <row r="631" ht="15.75" customHeight="1"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</row>
    <row r="632" ht="15.75" customHeight="1"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</row>
    <row r="633" ht="15.75" customHeight="1"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</row>
    <row r="634" ht="15.75" customHeight="1"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</row>
    <row r="635" ht="15.75" customHeight="1"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</row>
    <row r="636" ht="15.75" customHeight="1"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</row>
    <row r="637" ht="15.75" customHeight="1"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</row>
    <row r="638" ht="15.75" customHeight="1"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</row>
    <row r="639" ht="15.75" customHeight="1"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</row>
    <row r="640" ht="15.75" customHeight="1"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</row>
    <row r="641" ht="15.75" customHeight="1"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</row>
    <row r="642" ht="15.75" customHeight="1"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</row>
    <row r="643" ht="15.75" customHeight="1"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</row>
    <row r="644" ht="15.75" customHeight="1"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</row>
    <row r="645" ht="15.75" customHeight="1"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</row>
    <row r="646" ht="15.75" customHeight="1"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</row>
    <row r="647" ht="15.75" customHeight="1"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</row>
    <row r="648" ht="15.75" customHeight="1"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</row>
    <row r="649" ht="15.75" customHeight="1"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</row>
    <row r="650" ht="15.75" customHeight="1"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</row>
    <row r="651" ht="15.75" customHeight="1"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</row>
    <row r="652" ht="15.75" customHeight="1"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</row>
    <row r="653" ht="15.75" customHeight="1"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</row>
    <row r="654" ht="15.75" customHeight="1"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</row>
    <row r="655" ht="15.75" customHeight="1"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</row>
    <row r="656" ht="15.75" customHeight="1"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</row>
    <row r="657" ht="15.75" customHeight="1"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</row>
    <row r="658" ht="15.75" customHeight="1"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</row>
    <row r="659" ht="15.75" customHeight="1"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</row>
    <row r="660" ht="15.75" customHeight="1"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</row>
    <row r="661" ht="15.75" customHeight="1"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</row>
    <row r="662" ht="15.75" customHeight="1"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</row>
    <row r="663" ht="15.75" customHeight="1"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</row>
    <row r="664" ht="15.75" customHeight="1"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</row>
    <row r="665" ht="15.75" customHeight="1"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</row>
    <row r="666" ht="15.75" customHeight="1"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</row>
    <row r="667" ht="15.75" customHeight="1"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</row>
    <row r="668" ht="15.75" customHeight="1"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</row>
    <row r="669" ht="15.75" customHeight="1"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</row>
    <row r="670" ht="15.75" customHeight="1"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</row>
    <row r="671" ht="15.75" customHeight="1"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</row>
    <row r="672" ht="15.75" customHeight="1"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</row>
    <row r="673" ht="15.75" customHeight="1"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</row>
    <row r="674" ht="15.75" customHeight="1"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</row>
    <row r="675" ht="15.75" customHeight="1"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</row>
    <row r="676" ht="15.75" customHeight="1"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</row>
    <row r="677" ht="15.75" customHeight="1"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</row>
    <row r="678" ht="15.75" customHeight="1"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</row>
    <row r="679" ht="15.75" customHeight="1"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</row>
    <row r="680" ht="15.75" customHeight="1"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</row>
    <row r="681" ht="15.75" customHeight="1"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</row>
    <row r="682" ht="15.75" customHeight="1"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</row>
    <row r="683" ht="15.75" customHeight="1"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</row>
    <row r="684" ht="15.75" customHeight="1"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</row>
    <row r="685" ht="15.75" customHeight="1"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</row>
    <row r="686" ht="15.75" customHeight="1"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</row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2" width="10.44"/>
    <col customWidth="1" min="3" max="3" width="13.67"/>
    <col customWidth="1" min="4" max="4" width="10.44"/>
    <col customWidth="1" min="5" max="5" width="14.0"/>
    <col customWidth="1" min="6" max="6" width="10.44"/>
    <col customWidth="1" min="7" max="7" width="11.11"/>
  </cols>
  <sheetData>
    <row r="1" ht="15.75" customHeight="1">
      <c r="A1" s="63" t="s">
        <v>0</v>
      </c>
      <c r="B1" s="53" t="s">
        <v>115</v>
      </c>
      <c r="C1" s="53" t="s">
        <v>116</v>
      </c>
      <c r="D1" s="53" t="s">
        <v>117</v>
      </c>
      <c r="E1" s="53" t="s">
        <v>118</v>
      </c>
      <c r="F1" s="53" t="s">
        <v>119</v>
      </c>
      <c r="G1" s="53" t="s">
        <v>120</v>
      </c>
    </row>
    <row r="2" ht="15.75" customHeight="1">
      <c r="A2" s="10">
        <v>34881.0</v>
      </c>
      <c r="B2" s="64"/>
      <c r="C2" s="64"/>
      <c r="D2" s="64"/>
      <c r="E2" s="64"/>
      <c r="F2" s="64">
        <v>6.0</v>
      </c>
      <c r="G2" s="64"/>
    </row>
    <row r="3" ht="15.75" customHeight="1">
      <c r="A3" s="10">
        <v>34912.0</v>
      </c>
      <c r="B3" s="46"/>
      <c r="C3" s="46">
        <v>-5.9</v>
      </c>
      <c r="D3" s="46"/>
      <c r="E3" s="46"/>
      <c r="F3" s="46">
        <v>9.8</v>
      </c>
      <c r="G3" s="46"/>
    </row>
    <row r="4" ht="15.75" customHeight="1">
      <c r="A4" s="10">
        <v>34943.0</v>
      </c>
      <c r="B4" s="46"/>
      <c r="C4" s="46">
        <v>-6.8</v>
      </c>
      <c r="D4" s="46"/>
      <c r="E4" s="46">
        <v>3267552.0</v>
      </c>
      <c r="F4" s="46">
        <v>14.1</v>
      </c>
      <c r="G4" s="46"/>
    </row>
    <row r="5" ht="15.75" customHeight="1">
      <c r="A5" s="10">
        <v>34973.0</v>
      </c>
      <c r="B5" s="46"/>
      <c r="C5" s="46">
        <v>-7.6</v>
      </c>
      <c r="D5" s="46"/>
      <c r="E5" s="46">
        <v>3281956.0</v>
      </c>
      <c r="F5" s="46">
        <v>17.4</v>
      </c>
      <c r="G5" s="46"/>
    </row>
    <row r="6" ht="15.75" customHeight="1">
      <c r="A6" s="10">
        <v>35004.0</v>
      </c>
      <c r="B6" s="46"/>
      <c r="C6" s="46">
        <v>-10.3</v>
      </c>
      <c r="D6" s="46"/>
      <c r="E6" s="46">
        <v>3313101.0</v>
      </c>
      <c r="F6" s="46">
        <v>9.8</v>
      </c>
      <c r="G6" s="46"/>
    </row>
    <row r="7" ht="15.75" customHeight="1">
      <c r="A7" s="10">
        <v>35034.0</v>
      </c>
      <c r="B7" s="46"/>
      <c r="C7" s="46">
        <v>-12.0</v>
      </c>
      <c r="D7" s="46"/>
      <c r="E7" s="46">
        <v>3319905.0</v>
      </c>
      <c r="F7" s="46">
        <v>-6.5</v>
      </c>
      <c r="G7" s="46"/>
    </row>
    <row r="8" ht="15.75" customHeight="1">
      <c r="A8" s="10">
        <v>35065.0</v>
      </c>
      <c r="B8" s="46"/>
      <c r="C8" s="46">
        <v>-12.6</v>
      </c>
      <c r="D8" s="46"/>
      <c r="E8" s="46">
        <v>3330302.0</v>
      </c>
      <c r="F8" s="46">
        <v>-9.1</v>
      </c>
      <c r="G8" s="46"/>
    </row>
    <row r="9" ht="15.75" customHeight="1">
      <c r="A9" s="10">
        <v>35096.0</v>
      </c>
      <c r="B9" s="46"/>
      <c r="C9" s="46">
        <v>-14.7</v>
      </c>
      <c r="D9" s="46"/>
      <c r="E9" s="46">
        <v>3339988.0</v>
      </c>
      <c r="F9" s="46">
        <v>8.4</v>
      </c>
      <c r="G9" s="46"/>
    </row>
    <row r="10" ht="15.75" customHeight="1">
      <c r="A10" s="10">
        <v>35125.0</v>
      </c>
      <c r="B10" s="46"/>
      <c r="C10" s="46">
        <v>-15.2</v>
      </c>
      <c r="D10" s="46"/>
      <c r="E10" s="46">
        <v>3356999.0</v>
      </c>
      <c r="F10" s="46">
        <v>19.5</v>
      </c>
      <c r="G10" s="46"/>
    </row>
    <row r="11" ht="15.75" customHeight="1">
      <c r="A11" s="10">
        <v>35156.0</v>
      </c>
      <c r="B11" s="46"/>
      <c r="C11" s="46">
        <v>-16.3</v>
      </c>
      <c r="D11" s="46"/>
      <c r="E11" s="46">
        <v>3367104.0</v>
      </c>
      <c r="F11" s="46">
        <v>31.5</v>
      </c>
      <c r="G11" s="46"/>
    </row>
    <row r="12" ht="15.75" customHeight="1">
      <c r="A12" s="10">
        <v>35186.0</v>
      </c>
      <c r="B12" s="46"/>
      <c r="C12" s="46">
        <v>-16.8</v>
      </c>
      <c r="D12" s="46"/>
      <c r="E12" s="46">
        <v>3382092.0</v>
      </c>
      <c r="F12" s="46">
        <v>44.9</v>
      </c>
      <c r="G12" s="46"/>
    </row>
    <row r="13" ht="15.75" customHeight="1">
      <c r="A13" s="10">
        <v>35217.0</v>
      </c>
      <c r="B13" s="46"/>
      <c r="C13" s="46">
        <v>-17.5</v>
      </c>
      <c r="D13" s="46"/>
      <c r="E13" s="46">
        <v>3397417.0</v>
      </c>
      <c r="F13" s="46">
        <v>54.8</v>
      </c>
      <c r="G13" s="46"/>
    </row>
    <row r="14" ht="15.75" customHeight="1">
      <c r="A14" s="10">
        <v>35247.0</v>
      </c>
      <c r="B14" s="46"/>
      <c r="C14" s="46">
        <v>-15.9</v>
      </c>
      <c r="D14" s="46"/>
      <c r="E14" s="46">
        <v>3412004.0</v>
      </c>
      <c r="F14" s="46">
        <v>65.1</v>
      </c>
      <c r="G14" s="46"/>
    </row>
    <row r="15" ht="15.75" customHeight="1">
      <c r="A15" s="10">
        <v>35278.0</v>
      </c>
      <c r="B15" s="46"/>
      <c r="C15" s="46">
        <v>-15.6</v>
      </c>
      <c r="D15" s="46"/>
      <c r="E15" s="46">
        <v>3430951.0</v>
      </c>
      <c r="F15" s="46">
        <v>66.4</v>
      </c>
      <c r="G15" s="46"/>
    </row>
    <row r="16" ht="15.75" customHeight="1">
      <c r="A16" s="10">
        <v>35309.0</v>
      </c>
      <c r="B16" s="46"/>
      <c r="C16" s="46">
        <v>-17.4</v>
      </c>
      <c r="D16" s="46"/>
      <c r="E16" s="46">
        <v>3437602.0</v>
      </c>
      <c r="F16" s="46">
        <v>62.2</v>
      </c>
      <c r="G16" s="46"/>
    </row>
    <row r="17" ht="15.75" customHeight="1">
      <c r="A17" s="10">
        <v>35339.0</v>
      </c>
      <c r="B17" s="46"/>
      <c r="C17" s="46">
        <v>-16.7</v>
      </c>
      <c r="D17" s="46"/>
      <c r="E17" s="46">
        <v>3454732.0</v>
      </c>
      <c r="F17" s="46">
        <v>71.0</v>
      </c>
      <c r="G17" s="46"/>
    </row>
    <row r="18" ht="15.75" customHeight="1">
      <c r="A18" s="10">
        <v>35370.0</v>
      </c>
      <c r="B18" s="46"/>
      <c r="C18" s="46">
        <v>-17.0</v>
      </c>
      <c r="D18" s="46"/>
      <c r="E18" s="46">
        <v>3485294.0</v>
      </c>
      <c r="F18" s="46">
        <v>76.2</v>
      </c>
      <c r="G18" s="46"/>
    </row>
    <row r="19" ht="15.75" customHeight="1">
      <c r="A19" s="10">
        <v>35400.0</v>
      </c>
      <c r="B19" s="46"/>
      <c r="C19" s="46">
        <v>-17.0</v>
      </c>
      <c r="D19" s="46"/>
      <c r="E19" s="46">
        <v>3481794.0</v>
      </c>
      <c r="F19" s="46">
        <v>74.6</v>
      </c>
      <c r="G19" s="46"/>
    </row>
    <row r="20" ht="15.75" customHeight="1">
      <c r="A20" s="10">
        <v>35431.0</v>
      </c>
      <c r="B20" s="46"/>
      <c r="C20" s="46">
        <v>-18.1</v>
      </c>
      <c r="D20" s="46"/>
      <c r="E20" s="46">
        <v>3491741.0</v>
      </c>
      <c r="F20" s="46">
        <v>69.3</v>
      </c>
      <c r="G20" s="46"/>
    </row>
    <row r="21" ht="15.75" customHeight="1">
      <c r="A21" s="10">
        <v>35462.0</v>
      </c>
      <c r="B21" s="46"/>
      <c r="C21" s="46">
        <v>-17.0</v>
      </c>
      <c r="D21" s="46"/>
      <c r="E21" s="46">
        <v>3496201.0</v>
      </c>
      <c r="F21" s="46">
        <v>70.8</v>
      </c>
      <c r="G21" s="46"/>
    </row>
    <row r="22" ht="15.75" customHeight="1">
      <c r="A22" s="10">
        <v>35490.0</v>
      </c>
      <c r="B22" s="46"/>
      <c r="C22" s="46">
        <v>-15.8</v>
      </c>
      <c r="D22" s="46"/>
      <c r="E22" s="46">
        <v>3497300.0</v>
      </c>
      <c r="F22" s="46">
        <v>62.3</v>
      </c>
      <c r="G22" s="46"/>
    </row>
    <row r="23" ht="15.75" customHeight="1">
      <c r="A23" s="10">
        <v>35521.0</v>
      </c>
      <c r="B23" s="46"/>
      <c r="C23" s="46">
        <v>-16.4</v>
      </c>
      <c r="D23" s="46"/>
      <c r="E23" s="46">
        <v>3515117.0</v>
      </c>
      <c r="F23" s="46">
        <v>65.7</v>
      </c>
      <c r="G23" s="46"/>
    </row>
    <row r="24" ht="15.75" customHeight="1">
      <c r="A24" s="10">
        <v>35551.0</v>
      </c>
      <c r="B24" s="46"/>
      <c r="C24" s="46">
        <v>-16.3</v>
      </c>
      <c r="D24" s="46"/>
      <c r="E24" s="46">
        <v>3533933.0</v>
      </c>
      <c r="F24" s="46">
        <v>73.0</v>
      </c>
      <c r="G24" s="46"/>
    </row>
    <row r="25" ht="15.75" customHeight="1">
      <c r="A25" s="10">
        <v>35582.0</v>
      </c>
      <c r="B25" s="46"/>
      <c r="C25" s="46">
        <v>-15.9</v>
      </c>
      <c r="D25" s="46"/>
      <c r="E25" s="46">
        <v>3550359.0</v>
      </c>
      <c r="F25" s="46">
        <v>70.1</v>
      </c>
      <c r="G25" s="46"/>
    </row>
    <row r="26" ht="15.75" customHeight="1">
      <c r="A26" s="10">
        <v>35612.0</v>
      </c>
      <c r="B26" s="46"/>
      <c r="C26" s="46">
        <v>-15.1</v>
      </c>
      <c r="D26" s="46"/>
      <c r="E26" s="46">
        <v>3558132.0</v>
      </c>
      <c r="F26" s="46">
        <v>68.1</v>
      </c>
      <c r="G26" s="46"/>
    </row>
    <row r="27" ht="15.75" customHeight="1">
      <c r="A27" s="10">
        <v>35643.0</v>
      </c>
      <c r="B27" s="46"/>
      <c r="C27" s="46">
        <v>-13.4</v>
      </c>
      <c r="D27" s="46"/>
      <c r="E27" s="46">
        <v>3570685.0</v>
      </c>
      <c r="F27" s="46">
        <v>66.9</v>
      </c>
      <c r="G27" s="46"/>
    </row>
    <row r="28" ht="15.75" customHeight="1">
      <c r="A28" s="10">
        <v>35674.0</v>
      </c>
      <c r="B28" s="46"/>
      <c r="C28" s="46">
        <v>-12.6</v>
      </c>
      <c r="D28" s="46"/>
      <c r="E28" s="46">
        <v>3592014.0</v>
      </c>
      <c r="F28" s="46">
        <v>66.3</v>
      </c>
      <c r="G28" s="46"/>
    </row>
    <row r="29" ht="15.75" customHeight="1">
      <c r="A29" s="10">
        <v>35704.0</v>
      </c>
      <c r="B29" s="46"/>
      <c r="C29" s="46">
        <v>-11.4</v>
      </c>
      <c r="D29" s="46"/>
      <c r="E29" s="46">
        <v>3600607.0</v>
      </c>
      <c r="F29" s="46">
        <v>71.9</v>
      </c>
      <c r="G29" s="46"/>
    </row>
    <row r="30" ht="15.75" customHeight="1">
      <c r="A30" s="10">
        <v>35735.0</v>
      </c>
      <c r="B30" s="46"/>
      <c r="C30" s="46">
        <v>-10.2</v>
      </c>
      <c r="D30" s="46"/>
      <c r="E30" s="46">
        <v>3615861.0</v>
      </c>
      <c r="F30" s="46">
        <v>78.1</v>
      </c>
      <c r="G30" s="46"/>
    </row>
    <row r="31" ht="15.75" customHeight="1">
      <c r="A31" s="10">
        <v>35765.0</v>
      </c>
      <c r="B31" s="46"/>
      <c r="C31" s="46">
        <v>-9.7</v>
      </c>
      <c r="D31" s="46"/>
      <c r="E31" s="46">
        <v>3639465.0</v>
      </c>
      <c r="F31" s="46">
        <v>68.3</v>
      </c>
      <c r="G31" s="46"/>
    </row>
    <row r="32" ht="15.75" customHeight="1">
      <c r="A32" s="10">
        <v>35796.0</v>
      </c>
      <c r="B32" s="46"/>
      <c r="C32" s="46">
        <v>-9.7</v>
      </c>
      <c r="D32" s="46"/>
      <c r="E32" s="46">
        <v>3656945.0</v>
      </c>
      <c r="F32" s="46">
        <v>61.9</v>
      </c>
      <c r="G32" s="46"/>
    </row>
    <row r="33" ht="15.75" customHeight="1">
      <c r="A33" s="10">
        <v>35827.0</v>
      </c>
      <c r="B33" s="46"/>
      <c r="C33" s="46">
        <v>-9.8</v>
      </c>
      <c r="D33" s="46"/>
      <c r="E33" s="46">
        <v>3668043.0</v>
      </c>
      <c r="F33" s="46">
        <v>49.9</v>
      </c>
      <c r="G33" s="46"/>
    </row>
    <row r="34" ht="15.75" customHeight="1">
      <c r="A34" s="10">
        <v>35855.0</v>
      </c>
      <c r="B34" s="46"/>
      <c r="C34" s="46">
        <v>-9.5</v>
      </c>
      <c r="D34" s="46"/>
      <c r="E34" s="46">
        <v>3697213.0</v>
      </c>
      <c r="F34" s="46">
        <v>40.7</v>
      </c>
      <c r="G34" s="46"/>
    </row>
    <row r="35" ht="15.75" customHeight="1">
      <c r="A35" s="10">
        <v>35886.0</v>
      </c>
      <c r="B35" s="46"/>
      <c r="C35" s="46">
        <v>-8.7</v>
      </c>
      <c r="D35" s="46"/>
      <c r="E35" s="46">
        <v>3718763.0</v>
      </c>
      <c r="F35" s="46">
        <v>51.0</v>
      </c>
      <c r="G35" s="46"/>
    </row>
    <row r="36" ht="15.75" customHeight="1">
      <c r="A36" s="10">
        <v>35916.0</v>
      </c>
      <c r="B36" s="46"/>
      <c r="C36" s="46">
        <v>-7.1</v>
      </c>
      <c r="D36" s="46"/>
      <c r="E36" s="46">
        <v>3742337.0</v>
      </c>
      <c r="F36" s="46">
        <v>63.6</v>
      </c>
      <c r="G36" s="46"/>
    </row>
    <row r="37" ht="15.75" customHeight="1">
      <c r="A37" s="10">
        <v>35947.0</v>
      </c>
      <c r="B37" s="46"/>
      <c r="C37" s="46">
        <v>-6.5</v>
      </c>
      <c r="D37" s="46"/>
      <c r="E37" s="46">
        <v>3733394.0</v>
      </c>
      <c r="F37" s="46">
        <v>64.2</v>
      </c>
      <c r="G37" s="46"/>
    </row>
    <row r="38" ht="15.75" customHeight="1">
      <c r="A38" s="10">
        <v>35977.0</v>
      </c>
      <c r="B38" s="46"/>
      <c r="C38" s="46">
        <v>-4.9</v>
      </c>
      <c r="D38" s="46"/>
      <c r="E38" s="46">
        <v>3747482.0</v>
      </c>
      <c r="F38" s="46">
        <v>68.7</v>
      </c>
      <c r="G38" s="46"/>
    </row>
    <row r="39" ht="15.75" customHeight="1">
      <c r="A39" s="10">
        <v>36008.0</v>
      </c>
      <c r="B39" s="46"/>
      <c r="C39" s="46">
        <v>-5.2</v>
      </c>
      <c r="D39" s="46"/>
      <c r="E39" s="46">
        <v>3755963.0</v>
      </c>
      <c r="F39" s="46">
        <v>68.4</v>
      </c>
      <c r="G39" s="46"/>
    </row>
    <row r="40" ht="15.75" customHeight="1">
      <c r="A40" s="10">
        <v>36039.0</v>
      </c>
      <c r="B40" s="46"/>
      <c r="C40" s="46">
        <v>-3.2</v>
      </c>
      <c r="D40" s="46"/>
      <c r="E40" s="46">
        <v>3774549.0</v>
      </c>
      <c r="F40" s="46">
        <v>58.1</v>
      </c>
      <c r="G40" s="46"/>
    </row>
    <row r="41" ht="15.75" customHeight="1">
      <c r="A41" s="10">
        <v>36069.0</v>
      </c>
      <c r="B41" s="46"/>
      <c r="C41" s="46">
        <v>-4.5</v>
      </c>
      <c r="D41" s="46"/>
      <c r="E41" s="46">
        <v>3805456.0</v>
      </c>
      <c r="F41" s="46">
        <v>22.8</v>
      </c>
      <c r="G41" s="46"/>
    </row>
    <row r="42" ht="15.75" customHeight="1">
      <c r="A42" s="10">
        <v>36100.0</v>
      </c>
      <c r="B42" s="46"/>
      <c r="C42" s="46">
        <v>-4.8</v>
      </c>
      <c r="D42" s="46"/>
      <c r="E42" s="46">
        <v>3851602.0</v>
      </c>
      <c r="F42" s="46">
        <v>-6.2</v>
      </c>
      <c r="G42" s="46"/>
    </row>
    <row r="43" ht="15.75" customHeight="1">
      <c r="A43" s="10">
        <v>36130.0</v>
      </c>
      <c r="B43" s="46"/>
      <c r="C43" s="46">
        <v>-4.1</v>
      </c>
      <c r="D43" s="46"/>
      <c r="E43" s="46">
        <v>3932557.0</v>
      </c>
      <c r="F43" s="46">
        <v>-17.9</v>
      </c>
      <c r="G43" s="46"/>
    </row>
    <row r="44" ht="15.75" customHeight="1">
      <c r="A44" s="10">
        <v>36161.0</v>
      </c>
      <c r="B44" s="46"/>
      <c r="C44" s="46">
        <v>-2.4</v>
      </c>
      <c r="D44" s="46"/>
      <c r="E44" s="46">
        <v>3906704.0</v>
      </c>
      <c r="F44" s="46">
        <v>-24.9</v>
      </c>
      <c r="G44" s="46">
        <v>686308.0</v>
      </c>
    </row>
    <row r="45" ht="15.75" customHeight="1">
      <c r="A45" s="10">
        <v>36192.0</v>
      </c>
      <c r="B45" s="46"/>
      <c r="C45" s="46">
        <v>-3.7</v>
      </c>
      <c r="D45" s="46"/>
      <c r="E45" s="46">
        <v>3932161.0</v>
      </c>
      <c r="F45" s="46">
        <v>-25.1</v>
      </c>
      <c r="G45" s="46">
        <v>685553.75</v>
      </c>
    </row>
    <row r="46" ht="15.75" customHeight="1">
      <c r="A46" s="10">
        <v>36220.0</v>
      </c>
      <c r="B46" s="46"/>
      <c r="C46" s="46">
        <v>-2.1</v>
      </c>
      <c r="D46" s="46">
        <v>-15.7</v>
      </c>
      <c r="E46" s="46">
        <v>3949151.0</v>
      </c>
      <c r="F46" s="46">
        <v>-6.6</v>
      </c>
      <c r="G46" s="46">
        <v>689701.5</v>
      </c>
    </row>
    <row r="47" ht="15.75" customHeight="1">
      <c r="A47" s="10">
        <v>36251.0</v>
      </c>
      <c r="B47" s="46"/>
      <c r="C47" s="46">
        <v>-2.4</v>
      </c>
      <c r="D47" s="46">
        <v>-1.4</v>
      </c>
      <c r="E47" s="46">
        <v>3969117.0</v>
      </c>
      <c r="F47" s="46">
        <v>9.2</v>
      </c>
      <c r="G47" s="46">
        <v>709898.4</v>
      </c>
    </row>
    <row r="48" ht="15.75" customHeight="1">
      <c r="A48" s="10">
        <v>36281.0</v>
      </c>
      <c r="B48" s="46"/>
      <c r="C48" s="46">
        <v>-3.9</v>
      </c>
      <c r="D48" s="46">
        <v>13.0</v>
      </c>
      <c r="E48" s="46">
        <v>3988198.0</v>
      </c>
      <c r="F48" s="46">
        <v>30.3</v>
      </c>
      <c r="G48" s="46">
        <v>693949.0</v>
      </c>
    </row>
    <row r="49" ht="15.75" customHeight="1">
      <c r="A49" s="10">
        <v>36312.0</v>
      </c>
      <c r="B49" s="46"/>
      <c r="C49" s="46">
        <v>-6.1</v>
      </c>
      <c r="D49" s="46">
        <v>30.5</v>
      </c>
      <c r="E49" s="46">
        <v>4024117.0</v>
      </c>
      <c r="F49" s="46">
        <v>45.1</v>
      </c>
      <c r="G49" s="46">
        <v>697723.5</v>
      </c>
    </row>
    <row r="50" ht="15.75" customHeight="1">
      <c r="A50" s="10">
        <v>36342.0</v>
      </c>
      <c r="B50" s="46"/>
      <c r="C50" s="46">
        <v>-5.8</v>
      </c>
      <c r="D50" s="46">
        <v>47.9</v>
      </c>
      <c r="E50" s="46">
        <v>4024149.0</v>
      </c>
      <c r="F50" s="46">
        <v>56.4</v>
      </c>
      <c r="G50" s="46">
        <v>725721.2</v>
      </c>
    </row>
    <row r="51" ht="15.75" customHeight="1">
      <c r="A51" s="10">
        <v>36373.0</v>
      </c>
      <c r="B51" s="46"/>
      <c r="C51" s="46">
        <v>-6.0</v>
      </c>
      <c r="D51" s="46">
        <v>59.9</v>
      </c>
      <c r="E51" s="46">
        <v>4030568.0</v>
      </c>
      <c r="F51" s="46">
        <v>74.3</v>
      </c>
      <c r="G51" s="46">
        <v>721642.25</v>
      </c>
    </row>
    <row r="52" ht="15.75" customHeight="1">
      <c r="A52" s="10">
        <v>36404.0</v>
      </c>
      <c r="B52" s="46"/>
      <c r="C52" s="46">
        <v>-4.2</v>
      </c>
      <c r="D52" s="46">
        <v>75.4</v>
      </c>
      <c r="E52" s="46">
        <v>4051137.0</v>
      </c>
      <c r="F52" s="46">
        <v>74.0</v>
      </c>
      <c r="G52" s="46">
        <v>723728.0</v>
      </c>
    </row>
    <row r="53" ht="15.75" customHeight="1">
      <c r="A53" s="10">
        <v>36434.0</v>
      </c>
      <c r="B53" s="46"/>
      <c r="C53" s="46">
        <v>-4.7</v>
      </c>
      <c r="D53" s="46">
        <v>77.9</v>
      </c>
      <c r="E53" s="46">
        <v>4066546.0</v>
      </c>
      <c r="F53" s="46">
        <v>80.7</v>
      </c>
      <c r="G53" s="46">
        <v>727391.4</v>
      </c>
    </row>
    <row r="54" ht="15.75" customHeight="1">
      <c r="A54" s="10">
        <v>36465.0</v>
      </c>
      <c r="B54" s="46"/>
      <c r="C54" s="46">
        <v>-4.3</v>
      </c>
      <c r="D54" s="46">
        <v>79.9</v>
      </c>
      <c r="E54" s="46">
        <v>4076755.0</v>
      </c>
      <c r="F54" s="46">
        <v>82.4</v>
      </c>
      <c r="G54" s="46">
        <v>737370.5</v>
      </c>
    </row>
    <row r="55" ht="15.75" customHeight="1">
      <c r="A55" s="10">
        <v>36495.0</v>
      </c>
      <c r="B55" s="46"/>
      <c r="C55" s="46">
        <v>-3.0</v>
      </c>
      <c r="D55" s="46">
        <v>83.4</v>
      </c>
      <c r="E55" s="46">
        <v>4123296.0</v>
      </c>
      <c r="F55" s="46">
        <v>84.5</v>
      </c>
      <c r="G55" s="46">
        <v>765795.8</v>
      </c>
    </row>
    <row r="56" ht="15.75" customHeight="1">
      <c r="A56" s="10">
        <v>36526.0</v>
      </c>
      <c r="B56" s="46"/>
      <c r="C56" s="46">
        <v>-2.5</v>
      </c>
      <c r="D56" s="46">
        <v>87.9</v>
      </c>
      <c r="E56" s="46">
        <v>4137864.0</v>
      </c>
      <c r="F56" s="46">
        <v>84.4</v>
      </c>
      <c r="G56" s="46">
        <v>761593.725</v>
      </c>
    </row>
    <row r="57" ht="15.75" customHeight="1">
      <c r="A57" s="10">
        <v>36557.0</v>
      </c>
      <c r="B57" s="46"/>
      <c r="C57" s="46">
        <v>-2.0</v>
      </c>
      <c r="D57" s="46">
        <v>86.3</v>
      </c>
      <c r="E57" s="46">
        <v>4148364.0</v>
      </c>
      <c r="F57" s="46">
        <v>89.6</v>
      </c>
      <c r="G57" s="46">
        <v>757490.522975</v>
      </c>
    </row>
    <row r="58" ht="15.75" customHeight="1">
      <c r="A58" s="10">
        <v>36586.0</v>
      </c>
      <c r="B58" s="46"/>
      <c r="C58" s="46">
        <v>0.01</v>
      </c>
      <c r="D58" s="46">
        <v>89.9</v>
      </c>
      <c r="E58" s="46">
        <v>4173323.0</v>
      </c>
      <c r="F58" s="46">
        <v>85.5</v>
      </c>
      <c r="G58" s="46">
        <v>766084.85596</v>
      </c>
    </row>
    <row r="59" ht="15.75" customHeight="1">
      <c r="A59" s="10">
        <v>36617.0</v>
      </c>
      <c r="B59" s="46"/>
      <c r="C59" s="46">
        <v>-0.7</v>
      </c>
      <c r="D59" s="46">
        <v>86.7</v>
      </c>
      <c r="E59" s="46">
        <v>4167945.0</v>
      </c>
      <c r="F59" s="46">
        <v>83.7</v>
      </c>
      <c r="G59" s="46">
        <v>774049.14185</v>
      </c>
    </row>
    <row r="60" ht="15.75" customHeight="1">
      <c r="A60" s="10">
        <v>36647.0</v>
      </c>
      <c r="B60" s="46"/>
      <c r="C60" s="46">
        <v>0.01</v>
      </c>
      <c r="D60" s="46">
        <v>81.5</v>
      </c>
      <c r="E60" s="46">
        <v>4168659.0</v>
      </c>
      <c r="F60" s="46">
        <v>83.0</v>
      </c>
      <c r="G60" s="46">
        <v>777419.75</v>
      </c>
    </row>
    <row r="61" ht="15.75" customHeight="1">
      <c r="A61" s="10">
        <v>36678.0</v>
      </c>
      <c r="B61" s="46"/>
      <c r="C61" s="46">
        <v>1.3</v>
      </c>
      <c r="D61" s="46">
        <v>80.6</v>
      </c>
      <c r="E61" s="46">
        <v>4184306.0</v>
      </c>
      <c r="F61" s="46">
        <v>81.0</v>
      </c>
      <c r="G61" s="46">
        <v>781786.2</v>
      </c>
    </row>
    <row r="62" ht="15.75" customHeight="1">
      <c r="A62" s="10">
        <v>36708.0</v>
      </c>
      <c r="B62" s="46"/>
      <c r="C62" s="46">
        <v>2.0</v>
      </c>
      <c r="D62" s="46">
        <v>78.2</v>
      </c>
      <c r="E62" s="46">
        <v>4211117.0</v>
      </c>
      <c r="F62" s="46">
        <v>77.1</v>
      </c>
      <c r="G62" s="46">
        <v>793018.80145</v>
      </c>
    </row>
    <row r="63" ht="15.75" customHeight="1">
      <c r="A63" s="10">
        <v>36739.0</v>
      </c>
      <c r="B63" s="46"/>
      <c r="C63" s="46">
        <v>1.3</v>
      </c>
      <c r="D63" s="46">
        <v>74.9</v>
      </c>
      <c r="E63" s="46">
        <v>4212058.0</v>
      </c>
      <c r="F63" s="46">
        <v>71.9</v>
      </c>
      <c r="G63" s="46">
        <v>791780.38205</v>
      </c>
    </row>
    <row r="64" ht="15.75" customHeight="1">
      <c r="A64" s="10">
        <v>36770.0</v>
      </c>
      <c r="B64" s="46"/>
      <c r="C64" s="46">
        <v>1.8</v>
      </c>
      <c r="D64" s="46">
        <v>70.1</v>
      </c>
      <c r="E64" s="46">
        <v>4223817.0</v>
      </c>
      <c r="F64" s="46">
        <v>67.7</v>
      </c>
      <c r="G64" s="46">
        <v>801557.38834</v>
      </c>
    </row>
    <row r="65" ht="15.75" customHeight="1">
      <c r="A65" s="10">
        <v>36800.0</v>
      </c>
      <c r="B65" s="46"/>
      <c r="C65" s="46">
        <v>2.0</v>
      </c>
      <c r="D65" s="46">
        <v>62.8</v>
      </c>
      <c r="E65" s="46">
        <v>4228547.0</v>
      </c>
      <c r="F65" s="46">
        <v>40.8</v>
      </c>
      <c r="G65" s="46">
        <v>817456.4451</v>
      </c>
    </row>
    <row r="66" ht="15.75" customHeight="1">
      <c r="A66" s="10">
        <v>36831.0</v>
      </c>
      <c r="B66" s="46"/>
      <c r="C66" s="46">
        <v>-1.7</v>
      </c>
      <c r="D66" s="46">
        <v>37.2</v>
      </c>
      <c r="E66" s="46">
        <v>4226817.0</v>
      </c>
      <c r="F66" s="46">
        <v>20.4</v>
      </c>
      <c r="G66" s="46">
        <v>823814.446325</v>
      </c>
    </row>
    <row r="67" ht="15.75" customHeight="1">
      <c r="A67" s="10">
        <v>36861.0</v>
      </c>
      <c r="B67" s="46"/>
      <c r="C67" s="46">
        <v>-0.7</v>
      </c>
      <c r="D67" s="46">
        <v>17.6</v>
      </c>
      <c r="E67" s="46">
        <v>4341730.0</v>
      </c>
      <c r="F67" s="46">
        <v>8.7</v>
      </c>
      <c r="G67" s="46">
        <v>845721.6</v>
      </c>
    </row>
    <row r="68" ht="15.75" customHeight="1">
      <c r="A68" s="10">
        <v>36892.0</v>
      </c>
      <c r="B68" s="46"/>
      <c r="C68" s="46">
        <v>-0.5</v>
      </c>
      <c r="D68" s="46">
        <v>6.1</v>
      </c>
      <c r="E68" s="46">
        <v>4365317.0</v>
      </c>
      <c r="F68" s="46">
        <v>-0.1</v>
      </c>
      <c r="G68" s="46">
        <v>843551.25</v>
      </c>
    </row>
    <row r="69" ht="15.75" customHeight="1">
      <c r="A69" s="10">
        <v>36923.0</v>
      </c>
      <c r="B69" s="46"/>
      <c r="C69" s="46">
        <v>0.4</v>
      </c>
      <c r="D69" s="46">
        <v>-0.3</v>
      </c>
      <c r="E69" s="46">
        <v>4384056.0</v>
      </c>
      <c r="F69" s="46">
        <v>-4.4</v>
      </c>
      <c r="G69" s="46">
        <v>837040.5</v>
      </c>
    </row>
    <row r="70" ht="15.75" customHeight="1">
      <c r="A70" s="10">
        <v>36951.0</v>
      </c>
      <c r="B70" s="46"/>
      <c r="C70" s="46">
        <v>0.6</v>
      </c>
      <c r="D70" s="46">
        <v>-4.6</v>
      </c>
      <c r="E70" s="46">
        <v>4411705.0</v>
      </c>
      <c r="F70" s="46">
        <v>-6.1</v>
      </c>
      <c r="G70" s="46">
        <v>834115.4</v>
      </c>
    </row>
    <row r="71" ht="15.75" customHeight="1">
      <c r="A71" s="10">
        <v>36982.0</v>
      </c>
      <c r="B71" s="46"/>
      <c r="C71" s="46">
        <v>-0.6</v>
      </c>
      <c r="D71" s="46">
        <v>-7.0</v>
      </c>
      <c r="E71" s="46">
        <v>4430097.0</v>
      </c>
      <c r="F71" s="46">
        <v>-10.4</v>
      </c>
      <c r="G71" s="46">
        <v>835467.5</v>
      </c>
    </row>
    <row r="72" ht="15.75" customHeight="1">
      <c r="A72" s="10">
        <v>37012.0</v>
      </c>
      <c r="B72" s="46"/>
      <c r="C72" s="46">
        <v>-0.2</v>
      </c>
      <c r="D72" s="46">
        <v>-10.0</v>
      </c>
      <c r="E72" s="46">
        <v>4467045.0</v>
      </c>
      <c r="F72" s="46">
        <v>-4.5</v>
      </c>
      <c r="G72" s="46">
        <v>820235.25</v>
      </c>
    </row>
    <row r="73" ht="15.75" customHeight="1">
      <c r="A73" s="10">
        <v>37043.0</v>
      </c>
      <c r="B73" s="46"/>
      <c r="C73" s="46">
        <v>-1.0</v>
      </c>
      <c r="D73" s="46">
        <v>-4.2</v>
      </c>
      <c r="E73" s="46">
        <v>4481862.0</v>
      </c>
      <c r="F73" s="46">
        <v>-4.3</v>
      </c>
      <c r="G73" s="46">
        <v>832826.2</v>
      </c>
    </row>
    <row r="74" ht="15.75" customHeight="1">
      <c r="A74" s="10">
        <v>37073.0</v>
      </c>
      <c r="B74" s="46"/>
      <c r="C74" s="46">
        <v>-2.4</v>
      </c>
      <c r="D74" s="46">
        <v>-1.5</v>
      </c>
      <c r="E74" s="46">
        <v>4499646.0</v>
      </c>
      <c r="F74" s="46">
        <v>-8.1</v>
      </c>
      <c r="G74" s="46">
        <v>849816.75</v>
      </c>
    </row>
    <row r="75" ht="15.75" customHeight="1">
      <c r="A75" s="10">
        <v>37104.0</v>
      </c>
      <c r="B75" s="46"/>
      <c r="C75" s="46">
        <v>-3.1</v>
      </c>
      <c r="D75" s="46">
        <v>-3.9</v>
      </c>
      <c r="E75" s="46">
        <v>4533594.0</v>
      </c>
      <c r="F75" s="46">
        <v>-1.9</v>
      </c>
      <c r="G75" s="46">
        <v>839889.0</v>
      </c>
    </row>
    <row r="76" ht="15.75" customHeight="1">
      <c r="A76" s="10">
        <v>37135.0</v>
      </c>
      <c r="B76" s="46"/>
      <c r="C76" s="46">
        <v>-5.6</v>
      </c>
      <c r="D76" s="46">
        <v>1.7</v>
      </c>
      <c r="E76" s="46">
        <v>4552781.0</v>
      </c>
      <c r="F76" s="46">
        <v>11.4</v>
      </c>
      <c r="G76" s="46">
        <v>818052.5</v>
      </c>
    </row>
    <row r="77" ht="15.75" customHeight="1">
      <c r="A77" s="10">
        <v>37165.0</v>
      </c>
      <c r="B77" s="46"/>
      <c r="C77" s="46">
        <v>-8.6</v>
      </c>
      <c r="D77" s="46">
        <v>12.2</v>
      </c>
      <c r="E77" s="46">
        <v>4586592.0</v>
      </c>
      <c r="F77" s="46">
        <v>13.7</v>
      </c>
      <c r="G77" s="46">
        <v>800342.5</v>
      </c>
    </row>
    <row r="78" ht="15.75" customHeight="1">
      <c r="A78" s="10">
        <v>37196.0</v>
      </c>
      <c r="B78" s="46"/>
      <c r="C78" s="46">
        <v>-9.0</v>
      </c>
      <c r="D78" s="46">
        <v>14.7</v>
      </c>
      <c r="E78" s="46">
        <v>4615138.0</v>
      </c>
      <c r="F78" s="46">
        <v>9.8</v>
      </c>
      <c r="G78" s="46">
        <v>800464.6</v>
      </c>
    </row>
    <row r="79" ht="15.75" customHeight="1">
      <c r="A79" s="10">
        <v>37226.0</v>
      </c>
      <c r="B79" s="46"/>
      <c r="C79" s="46">
        <v>-11.2</v>
      </c>
      <c r="D79" s="46">
        <v>10.6</v>
      </c>
      <c r="E79" s="46">
        <v>4647923.0</v>
      </c>
      <c r="F79" s="46">
        <v>13.1</v>
      </c>
      <c r="G79" s="46">
        <v>806376.25</v>
      </c>
    </row>
    <row r="80" ht="15.75" customHeight="1">
      <c r="A80" s="10">
        <v>37257.0</v>
      </c>
      <c r="B80" s="46"/>
      <c r="C80" s="46">
        <v>-13.0</v>
      </c>
      <c r="D80" s="46">
        <v>14.9</v>
      </c>
      <c r="E80" s="46">
        <v>4654219.0</v>
      </c>
      <c r="F80" s="46">
        <v>25.8</v>
      </c>
      <c r="G80" s="46">
        <v>868968.25</v>
      </c>
    </row>
    <row r="81" ht="15.75" customHeight="1">
      <c r="A81" s="10">
        <v>37288.0</v>
      </c>
      <c r="B81" s="46"/>
      <c r="C81" s="46">
        <v>-11.2</v>
      </c>
      <c r="D81" s="46">
        <v>30.3</v>
      </c>
      <c r="E81" s="46">
        <v>4663891.0</v>
      </c>
      <c r="F81" s="46">
        <v>35.9</v>
      </c>
      <c r="G81" s="46">
        <v>795311.5</v>
      </c>
    </row>
    <row r="82" ht="15.75" customHeight="1">
      <c r="A82" s="10">
        <v>37316.0</v>
      </c>
      <c r="B82" s="46"/>
      <c r="C82" s="46">
        <v>-10.1</v>
      </c>
      <c r="D82" s="46">
        <v>43.1</v>
      </c>
      <c r="E82" s="46">
        <v>4696905.0</v>
      </c>
      <c r="F82" s="46">
        <v>50.2</v>
      </c>
      <c r="G82" s="46">
        <v>790442.2</v>
      </c>
    </row>
    <row r="83" ht="15.75" customHeight="1">
      <c r="A83" s="10">
        <v>37347.0</v>
      </c>
      <c r="B83" s="46"/>
      <c r="C83" s="46">
        <v>-9.3</v>
      </c>
      <c r="D83" s="46">
        <v>56.6</v>
      </c>
      <c r="E83" s="46">
        <v>4714980.0</v>
      </c>
      <c r="F83" s="46">
        <v>71.2</v>
      </c>
      <c r="G83" s="46">
        <v>787674.25</v>
      </c>
    </row>
    <row r="84" ht="15.75" customHeight="1">
      <c r="A84" s="10">
        <v>37377.0</v>
      </c>
      <c r="B84" s="46"/>
      <c r="C84" s="46">
        <v>-8.4</v>
      </c>
      <c r="D84" s="46">
        <v>75.7</v>
      </c>
      <c r="E84" s="46">
        <v>4734850.0</v>
      </c>
      <c r="F84" s="46">
        <v>70.6</v>
      </c>
      <c r="G84" s="46">
        <v>788621.0</v>
      </c>
    </row>
    <row r="85" ht="15.75" customHeight="1">
      <c r="A85" s="10">
        <v>37408.0</v>
      </c>
      <c r="B85" s="46"/>
      <c r="C85" s="46">
        <v>-8.8</v>
      </c>
      <c r="D85" s="46">
        <v>74.3</v>
      </c>
      <c r="E85" s="46">
        <v>4762371.0</v>
      </c>
      <c r="F85" s="46">
        <v>66.3</v>
      </c>
      <c r="G85" s="46">
        <v>786629.0</v>
      </c>
    </row>
    <row r="86" ht="15.75" customHeight="1">
      <c r="A86" s="10">
        <v>37438.0</v>
      </c>
      <c r="B86" s="46"/>
      <c r="C86" s="46">
        <v>-7.2</v>
      </c>
      <c r="D86" s="46">
        <v>68.4</v>
      </c>
      <c r="E86" s="46">
        <v>4785308.0</v>
      </c>
      <c r="F86" s="46">
        <v>69.6</v>
      </c>
      <c r="G86" s="46">
        <v>772471.5</v>
      </c>
    </row>
    <row r="87" ht="15.75" customHeight="1">
      <c r="A87" s="10">
        <v>37469.0</v>
      </c>
      <c r="B87" s="46"/>
      <c r="C87" s="46">
        <v>-7.9</v>
      </c>
      <c r="D87" s="46">
        <v>72.5</v>
      </c>
      <c r="E87" s="46">
        <v>4819891.0</v>
      </c>
      <c r="F87" s="46">
        <v>69.1</v>
      </c>
      <c r="G87" s="46">
        <v>767732.0</v>
      </c>
    </row>
    <row r="88" ht="15.75" customHeight="1">
      <c r="A88" s="10">
        <v>37500.0</v>
      </c>
      <c r="B88" s="46"/>
      <c r="C88" s="46">
        <v>-9.6</v>
      </c>
      <c r="D88" s="46">
        <v>70.9</v>
      </c>
      <c r="E88" s="46">
        <v>4852586.0</v>
      </c>
      <c r="F88" s="46">
        <v>43.4</v>
      </c>
      <c r="G88" s="46">
        <v>768293.0</v>
      </c>
    </row>
    <row r="89" ht="15.75" customHeight="1">
      <c r="A89" s="10">
        <v>37530.0</v>
      </c>
      <c r="B89" s="46"/>
      <c r="C89" s="46">
        <v>-11.0</v>
      </c>
      <c r="D89" s="46">
        <v>47.6</v>
      </c>
      <c r="E89" s="46">
        <v>4891642.0</v>
      </c>
      <c r="F89" s="46">
        <v>39.5</v>
      </c>
      <c r="G89" s="46">
        <v>782346.25</v>
      </c>
    </row>
    <row r="90" ht="15.75" customHeight="1">
      <c r="A90" s="10">
        <v>37561.0</v>
      </c>
      <c r="B90" s="46"/>
      <c r="C90" s="46">
        <v>-9.8</v>
      </c>
      <c r="D90" s="46">
        <v>43.0</v>
      </c>
      <c r="E90" s="46">
        <v>4914115.0</v>
      </c>
      <c r="F90" s="46">
        <v>23.4</v>
      </c>
      <c r="G90" s="46">
        <v>783123.4</v>
      </c>
    </row>
    <row r="91" ht="15.75" customHeight="1">
      <c r="A91" s="10">
        <v>37591.0</v>
      </c>
      <c r="B91" s="46"/>
      <c r="C91" s="46">
        <v>-13.0</v>
      </c>
      <c r="D91" s="46">
        <v>34.3</v>
      </c>
      <c r="E91" s="46">
        <v>4921046.0</v>
      </c>
      <c r="F91" s="46">
        <v>4.2</v>
      </c>
      <c r="G91" s="46">
        <v>821108.0</v>
      </c>
    </row>
    <row r="92" ht="15.75" customHeight="1">
      <c r="A92" s="10">
        <v>37622.0</v>
      </c>
      <c r="B92" s="46"/>
      <c r="C92" s="46">
        <v>-14.8</v>
      </c>
      <c r="D92" s="46">
        <v>24.2</v>
      </c>
      <c r="E92" s="46">
        <v>4968769.0</v>
      </c>
      <c r="F92" s="46">
        <v>0.6</v>
      </c>
      <c r="G92" s="46">
        <v>784094.2</v>
      </c>
    </row>
    <row r="93" ht="15.75" customHeight="1">
      <c r="A93" s="10">
        <v>37653.0</v>
      </c>
      <c r="B93" s="46"/>
      <c r="C93" s="46">
        <v>-17.4</v>
      </c>
      <c r="D93" s="46">
        <v>27.1</v>
      </c>
      <c r="E93" s="46">
        <v>5003261.0</v>
      </c>
      <c r="F93" s="46">
        <v>14.0</v>
      </c>
      <c r="G93" s="46">
        <v>783218.0</v>
      </c>
    </row>
    <row r="94" ht="15.75" customHeight="1">
      <c r="A94" s="10">
        <v>37681.0</v>
      </c>
      <c r="B94" s="46"/>
      <c r="C94" s="46">
        <v>-17.6</v>
      </c>
      <c r="D94" s="46">
        <v>29.9</v>
      </c>
      <c r="E94" s="46">
        <v>5051455.0</v>
      </c>
      <c r="F94" s="46">
        <v>15.0</v>
      </c>
      <c r="G94" s="46">
        <v>797457.5</v>
      </c>
    </row>
    <row r="95" ht="15.75" customHeight="1">
      <c r="A95" s="10">
        <v>37712.0</v>
      </c>
      <c r="B95" s="46"/>
      <c r="C95" s="46">
        <v>-19.2</v>
      </c>
      <c r="D95" s="46">
        <v>28.7</v>
      </c>
      <c r="E95" s="46">
        <v>5082616.0</v>
      </c>
      <c r="F95" s="46">
        <v>17.7</v>
      </c>
      <c r="G95" s="46">
        <v>780520.75</v>
      </c>
    </row>
    <row r="96" ht="15.75" customHeight="1">
      <c r="A96" s="10">
        <v>37742.0</v>
      </c>
      <c r="B96" s="46"/>
      <c r="C96" s="46">
        <v>-20.7</v>
      </c>
      <c r="D96" s="46">
        <v>29.6</v>
      </c>
      <c r="E96" s="46">
        <v>5096212.0</v>
      </c>
      <c r="F96" s="46">
        <v>18.4</v>
      </c>
      <c r="G96" s="46">
        <v>778536.6</v>
      </c>
    </row>
    <row r="97" ht="15.75" customHeight="1">
      <c r="A97" s="10">
        <v>37773.0</v>
      </c>
      <c r="B97" s="46"/>
      <c r="C97" s="46">
        <v>-18.8</v>
      </c>
      <c r="D97" s="46">
        <v>29.5</v>
      </c>
      <c r="E97" s="46">
        <v>5126999.0</v>
      </c>
      <c r="F97" s="46">
        <v>18.7</v>
      </c>
      <c r="G97" s="46">
        <v>796000.25</v>
      </c>
    </row>
    <row r="98" ht="15.75" customHeight="1">
      <c r="A98" s="10">
        <v>37803.0</v>
      </c>
      <c r="B98" s="46"/>
      <c r="C98" s="46">
        <v>-18.5</v>
      </c>
      <c r="D98" s="46">
        <v>35.5</v>
      </c>
      <c r="E98" s="46">
        <v>5157360.0</v>
      </c>
      <c r="F98" s="46">
        <v>21.3</v>
      </c>
      <c r="G98" s="46">
        <v>805963.0</v>
      </c>
    </row>
    <row r="99" ht="15.75" customHeight="1">
      <c r="A99" s="10">
        <v>37834.0</v>
      </c>
      <c r="B99" s="46"/>
      <c r="C99" s="46">
        <v>-17.5</v>
      </c>
      <c r="D99" s="46">
        <v>38.0</v>
      </c>
      <c r="E99" s="46">
        <v>5167356.0</v>
      </c>
      <c r="F99" s="46">
        <v>41.9</v>
      </c>
      <c r="G99" s="46">
        <v>805788.2</v>
      </c>
    </row>
    <row r="100" ht="15.75" customHeight="1">
      <c r="A100" s="10">
        <v>37865.0</v>
      </c>
      <c r="B100" s="46"/>
      <c r="C100" s="46">
        <v>-17.7</v>
      </c>
      <c r="D100" s="46">
        <v>50.5</v>
      </c>
      <c r="E100" s="46">
        <v>5198839.0</v>
      </c>
      <c r="F100" s="46">
        <v>52.5</v>
      </c>
      <c r="G100" s="46">
        <v>814168.0</v>
      </c>
    </row>
    <row r="101" ht="15.75" customHeight="1">
      <c r="A101" s="10">
        <v>37895.0</v>
      </c>
      <c r="B101" s="46"/>
      <c r="C101" s="46">
        <v>-16.8</v>
      </c>
      <c r="D101" s="46">
        <v>58.1</v>
      </c>
      <c r="E101" s="46">
        <v>5214821.0</v>
      </c>
      <c r="F101" s="46">
        <v>60.9</v>
      </c>
      <c r="G101" s="46">
        <v>812868.0</v>
      </c>
    </row>
    <row r="102" ht="15.75" customHeight="1">
      <c r="A102" s="10">
        <v>37926.0</v>
      </c>
      <c r="B102" s="46"/>
      <c r="C102" s="46">
        <v>-16.5</v>
      </c>
      <c r="D102" s="46">
        <v>69.6</v>
      </c>
      <c r="E102" s="46">
        <v>5241334.0</v>
      </c>
      <c r="F102" s="46">
        <v>60.3</v>
      </c>
      <c r="G102" s="46">
        <v>821453.5</v>
      </c>
    </row>
    <row r="103" ht="15.75" customHeight="1">
      <c r="A103" s="10">
        <v>37956.0</v>
      </c>
      <c r="B103" s="46"/>
      <c r="C103" s="46">
        <v>-17.3</v>
      </c>
      <c r="D103" s="46">
        <v>66.8</v>
      </c>
      <c r="E103" s="46">
        <v>5256069.0</v>
      </c>
      <c r="F103" s="46">
        <v>67.2</v>
      </c>
      <c r="G103" s="46">
        <v>847311.25</v>
      </c>
    </row>
    <row r="104" ht="15.75" customHeight="1">
      <c r="A104" s="10">
        <v>37987.0</v>
      </c>
      <c r="B104" s="46"/>
      <c r="C104" s="46">
        <v>-16.1</v>
      </c>
      <c r="D104" s="46">
        <v>72.1</v>
      </c>
      <c r="E104" s="46">
        <v>5279882.0</v>
      </c>
      <c r="F104" s="46">
        <v>73.4</v>
      </c>
      <c r="G104" s="46">
        <v>822109.6</v>
      </c>
    </row>
    <row r="105" ht="15.75" customHeight="1">
      <c r="A105" s="10">
        <v>38018.0</v>
      </c>
      <c r="B105" s="46"/>
      <c r="C105" s="46">
        <v>-16.4</v>
      </c>
      <c r="D105" s="46">
        <v>78.2</v>
      </c>
      <c r="E105" s="46">
        <v>5321940.0</v>
      </c>
      <c r="F105" s="46">
        <v>72.9</v>
      </c>
      <c r="G105" s="46">
        <v>817782.25</v>
      </c>
    </row>
    <row r="106" ht="15.75" customHeight="1">
      <c r="A106" s="10">
        <v>38047.0</v>
      </c>
      <c r="B106" s="46"/>
      <c r="C106" s="46">
        <v>-14.9</v>
      </c>
      <c r="D106" s="46">
        <v>80.1</v>
      </c>
      <c r="E106" s="46">
        <v>5339882.0</v>
      </c>
      <c r="F106" s="46">
        <v>69.9</v>
      </c>
      <c r="G106" s="46">
        <v>824918.75</v>
      </c>
    </row>
    <row r="107" ht="15.75" customHeight="1">
      <c r="A107" s="10">
        <v>38078.0</v>
      </c>
      <c r="B107" s="46"/>
      <c r="C107" s="46">
        <v>-14.6</v>
      </c>
      <c r="D107" s="46">
        <v>75.6</v>
      </c>
      <c r="E107" s="46">
        <v>5354671.0</v>
      </c>
      <c r="F107" s="46">
        <v>57.6</v>
      </c>
      <c r="G107" s="46">
        <v>845341.6</v>
      </c>
    </row>
    <row r="108" ht="15.75" customHeight="1">
      <c r="A108" s="10">
        <v>38108.0</v>
      </c>
      <c r="B108" s="46"/>
      <c r="C108" s="46">
        <v>-14.0</v>
      </c>
      <c r="D108" s="46">
        <v>64.3</v>
      </c>
      <c r="E108" s="46">
        <v>5387093.0</v>
      </c>
      <c r="F108" s="46">
        <v>49.7</v>
      </c>
      <c r="G108" s="46">
        <v>853875.5</v>
      </c>
    </row>
    <row r="109" ht="15.75" customHeight="1">
      <c r="A109" s="10">
        <v>38139.0</v>
      </c>
      <c r="B109" s="46"/>
      <c r="C109" s="46">
        <v>-13.4</v>
      </c>
      <c r="D109" s="46">
        <v>59.1</v>
      </c>
      <c r="E109" s="46">
        <v>5416880.0</v>
      </c>
      <c r="F109" s="46">
        <v>46.4</v>
      </c>
      <c r="G109" s="46">
        <v>875700.0</v>
      </c>
    </row>
    <row r="110" ht="15.75" customHeight="1">
      <c r="A110" s="10">
        <v>38169.0</v>
      </c>
      <c r="B110" s="46"/>
      <c r="C110" s="46">
        <v>-14.6</v>
      </c>
      <c r="D110" s="46">
        <v>59.2</v>
      </c>
      <c r="E110" s="46">
        <v>5441374.0</v>
      </c>
      <c r="F110" s="46">
        <v>47.4</v>
      </c>
      <c r="G110" s="46">
        <v>880721.0</v>
      </c>
    </row>
    <row r="111" ht="15.75" customHeight="1">
      <c r="A111" s="10">
        <v>38200.0</v>
      </c>
      <c r="B111" s="46"/>
      <c r="C111" s="46">
        <v>-13.4</v>
      </c>
      <c r="D111" s="46">
        <v>56.8</v>
      </c>
      <c r="E111" s="46">
        <v>5482512.0</v>
      </c>
      <c r="F111" s="46">
        <v>48.4</v>
      </c>
      <c r="G111" s="46">
        <v>876416.25</v>
      </c>
    </row>
    <row r="112" ht="15.75" customHeight="1">
      <c r="A112" s="10">
        <v>38231.0</v>
      </c>
      <c r="B112" s="46"/>
      <c r="C112" s="46">
        <v>-14.0</v>
      </c>
      <c r="D112" s="46">
        <v>55.5</v>
      </c>
      <c r="E112" s="46">
        <v>5514842.0</v>
      </c>
      <c r="F112" s="46">
        <v>45.3</v>
      </c>
      <c r="G112" s="46">
        <v>878068.0</v>
      </c>
    </row>
    <row r="113" ht="15.75" customHeight="1">
      <c r="A113" s="10">
        <v>38261.0</v>
      </c>
      <c r="B113" s="46"/>
      <c r="C113" s="46">
        <v>-13.9</v>
      </c>
      <c r="D113" s="46">
        <v>52.0</v>
      </c>
      <c r="E113" s="46">
        <v>5546973.0</v>
      </c>
      <c r="F113" s="46">
        <v>38.4</v>
      </c>
      <c r="G113" s="46">
        <v>880094.0</v>
      </c>
    </row>
    <row r="114" ht="15.75" customHeight="1">
      <c r="A114" s="10">
        <v>38292.0</v>
      </c>
      <c r="B114" s="46"/>
      <c r="C114" s="46">
        <v>-13.0</v>
      </c>
      <c r="D114" s="46">
        <v>44.7</v>
      </c>
      <c r="E114" s="46">
        <v>5572270.0</v>
      </c>
      <c r="F114" s="46">
        <v>31.3</v>
      </c>
      <c r="G114" s="46">
        <v>893306.75</v>
      </c>
    </row>
    <row r="115" ht="15.75" customHeight="1">
      <c r="A115" s="10">
        <v>38322.0</v>
      </c>
      <c r="B115" s="46"/>
      <c r="C115" s="46">
        <v>-14.3</v>
      </c>
      <c r="D115" s="46">
        <v>37.6</v>
      </c>
      <c r="E115" s="46">
        <v>5624633.0</v>
      </c>
      <c r="F115" s="46">
        <v>13.9</v>
      </c>
      <c r="G115" s="46">
        <v>905768.4</v>
      </c>
    </row>
    <row r="116" ht="15.75" customHeight="1">
      <c r="A116" s="10">
        <v>38353.0</v>
      </c>
      <c r="B116" s="46"/>
      <c r="C116" s="46">
        <v>-13.8</v>
      </c>
      <c r="D116" s="46">
        <v>22.1</v>
      </c>
      <c r="E116" s="46">
        <v>5656008.0</v>
      </c>
      <c r="F116" s="46">
        <v>14.4</v>
      </c>
      <c r="G116" s="46">
        <v>886408.25</v>
      </c>
    </row>
    <row r="117" ht="15.75" customHeight="1">
      <c r="A117" s="10">
        <v>38384.0</v>
      </c>
      <c r="B117" s="46"/>
      <c r="C117" s="46">
        <v>-14.0</v>
      </c>
      <c r="D117" s="46">
        <v>17.7</v>
      </c>
      <c r="E117" s="46">
        <v>5685194.0</v>
      </c>
      <c r="F117" s="46">
        <v>26.9</v>
      </c>
      <c r="G117" s="46">
        <v>902691.0</v>
      </c>
    </row>
    <row r="118" ht="15.75" customHeight="1">
      <c r="A118" s="10">
        <v>38412.0</v>
      </c>
      <c r="B118" s="46"/>
      <c r="C118" s="46">
        <v>-12.8</v>
      </c>
      <c r="D118" s="46">
        <v>29.9</v>
      </c>
      <c r="E118" s="46">
        <v>5717332.0</v>
      </c>
      <c r="F118" s="46">
        <v>35.9</v>
      </c>
      <c r="G118" s="46">
        <v>912849.25</v>
      </c>
    </row>
    <row r="119" ht="15.75" customHeight="1">
      <c r="A119" s="10">
        <v>38443.0</v>
      </c>
      <c r="B119" s="46"/>
      <c r="C119" s="46">
        <v>-13.9</v>
      </c>
      <c r="D119" s="46">
        <v>36.0</v>
      </c>
      <c r="E119" s="46">
        <v>5763133.0</v>
      </c>
      <c r="F119" s="46">
        <v>36.3</v>
      </c>
      <c r="G119" s="46">
        <v>929123.4</v>
      </c>
    </row>
    <row r="120" ht="15.75" customHeight="1">
      <c r="A120" s="10">
        <v>38473.0</v>
      </c>
      <c r="B120" s="46"/>
      <c r="C120" s="46">
        <v>-14.1</v>
      </c>
      <c r="D120" s="46">
        <v>37.3</v>
      </c>
      <c r="E120" s="46">
        <v>5826766.0</v>
      </c>
      <c r="F120" s="46">
        <v>20.1</v>
      </c>
      <c r="G120" s="46">
        <v>926910.0</v>
      </c>
    </row>
    <row r="121" ht="15.75" customHeight="1">
      <c r="A121" s="10">
        <v>38504.0</v>
      </c>
      <c r="B121" s="46"/>
      <c r="C121" s="46">
        <v>-13.0</v>
      </c>
      <c r="D121" s="46">
        <v>24.6</v>
      </c>
      <c r="E121" s="46">
        <v>5881799.0</v>
      </c>
      <c r="F121" s="46">
        <v>13.9</v>
      </c>
      <c r="G121" s="46">
        <v>946705.5</v>
      </c>
    </row>
    <row r="122" ht="15.75" customHeight="1">
      <c r="A122" s="10">
        <v>38534.0</v>
      </c>
      <c r="B122" s="46"/>
      <c r="C122" s="46">
        <v>-14.1</v>
      </c>
      <c r="D122" s="46">
        <v>14.8</v>
      </c>
      <c r="E122" s="46">
        <v>5918289.0</v>
      </c>
      <c r="F122" s="46">
        <v>19.5</v>
      </c>
      <c r="G122" s="46">
        <v>988616.4</v>
      </c>
    </row>
    <row r="123" ht="15.75" customHeight="1">
      <c r="A123" s="10">
        <v>38565.0</v>
      </c>
      <c r="B123" s="46"/>
      <c r="C123" s="46">
        <v>-14.4</v>
      </c>
      <c r="D123" s="46">
        <v>16.7</v>
      </c>
      <c r="E123" s="46">
        <v>5973447.0</v>
      </c>
      <c r="F123" s="46">
        <v>37.0</v>
      </c>
      <c r="G123" s="46">
        <v>989749.5</v>
      </c>
    </row>
    <row r="124" ht="15.75" customHeight="1">
      <c r="A124" s="10">
        <v>38596.0</v>
      </c>
      <c r="B124" s="46"/>
      <c r="C124" s="46">
        <v>-14.8</v>
      </c>
      <c r="D124" s="46">
        <v>29.0</v>
      </c>
      <c r="E124" s="46">
        <v>6003586.0</v>
      </c>
      <c r="F124" s="46">
        <v>50.0</v>
      </c>
      <c r="G124" s="46">
        <v>978091.0</v>
      </c>
    </row>
    <row r="125" ht="15.75" customHeight="1">
      <c r="A125" s="10">
        <v>38626.0</v>
      </c>
      <c r="B125" s="46"/>
      <c r="C125" s="46">
        <v>-14.5</v>
      </c>
      <c r="D125" s="46">
        <v>41.6</v>
      </c>
      <c r="E125" s="46">
        <v>6031381.0</v>
      </c>
      <c r="F125" s="46">
        <v>38.6</v>
      </c>
      <c r="G125" s="46">
        <v>994100.75</v>
      </c>
    </row>
    <row r="126" ht="15.75" customHeight="1">
      <c r="A126" s="10">
        <v>38657.0</v>
      </c>
      <c r="B126" s="46"/>
      <c r="C126" s="46">
        <v>-14.2</v>
      </c>
      <c r="D126" s="46">
        <v>31.8</v>
      </c>
      <c r="E126" s="46">
        <v>6090027.0</v>
      </c>
      <c r="F126" s="46">
        <v>39.4</v>
      </c>
      <c r="G126" s="46">
        <v>1003326.0</v>
      </c>
    </row>
    <row r="127" ht="15.75" customHeight="1">
      <c r="A127" s="10">
        <v>38687.0</v>
      </c>
      <c r="B127" s="46"/>
      <c r="C127" s="46">
        <v>-13.4</v>
      </c>
      <c r="D127" s="46">
        <v>34.7</v>
      </c>
      <c r="E127" s="46">
        <v>6127390.0</v>
      </c>
      <c r="F127" s="46">
        <v>38.7</v>
      </c>
      <c r="G127" s="46">
        <v>1026034.8</v>
      </c>
    </row>
    <row r="128" ht="15.75" customHeight="1">
      <c r="A128" s="10">
        <v>38718.0</v>
      </c>
      <c r="B128" s="46"/>
      <c r="C128" s="46">
        <v>-13.6</v>
      </c>
      <c r="D128" s="46">
        <v>40.0</v>
      </c>
      <c r="E128" s="46">
        <v>6180490.0</v>
      </c>
      <c r="F128" s="46">
        <v>61.6</v>
      </c>
      <c r="G128" s="46">
        <v>1044559.5</v>
      </c>
    </row>
    <row r="129" ht="15.75" customHeight="1">
      <c r="A129" s="10">
        <v>38749.0</v>
      </c>
      <c r="B129" s="46"/>
      <c r="C129" s="46">
        <v>-11.5</v>
      </c>
      <c r="D129" s="46">
        <v>51.2</v>
      </c>
      <c r="E129" s="46">
        <v>6222139.0</v>
      </c>
      <c r="F129" s="46">
        <v>71.0</v>
      </c>
      <c r="G129" s="46">
        <v>1041953.5</v>
      </c>
    </row>
    <row r="130" ht="15.75" customHeight="1">
      <c r="A130" s="10">
        <v>38777.0</v>
      </c>
      <c r="B130" s="46"/>
      <c r="C130" s="46">
        <v>-10.7</v>
      </c>
      <c r="D130" s="46">
        <v>66.1</v>
      </c>
      <c r="E130" s="46">
        <v>6292028.0</v>
      </c>
      <c r="F130" s="46">
        <v>69.8</v>
      </c>
      <c r="G130" s="46">
        <v>1055124.6</v>
      </c>
    </row>
    <row r="131" ht="15.75" customHeight="1">
      <c r="A131" s="10">
        <v>38808.0</v>
      </c>
      <c r="B131" s="46"/>
      <c r="C131" s="46">
        <v>-10.8</v>
      </c>
      <c r="D131" s="46">
        <v>66.0</v>
      </c>
      <c r="E131" s="46">
        <v>6319710.0</v>
      </c>
      <c r="F131" s="46">
        <v>63.4</v>
      </c>
      <c r="G131" s="46">
        <v>1076841.5</v>
      </c>
    </row>
    <row r="132" ht="15.75" customHeight="1">
      <c r="A132" s="10">
        <v>38838.0</v>
      </c>
      <c r="B132" s="46"/>
      <c r="C132" s="46">
        <v>-11.4</v>
      </c>
      <c r="D132" s="46">
        <v>61.1</v>
      </c>
      <c r="E132" s="46">
        <v>6359516.0</v>
      </c>
      <c r="F132" s="46">
        <v>62.7</v>
      </c>
      <c r="G132" s="46">
        <v>1078865.25</v>
      </c>
    </row>
    <row r="133" ht="15.75" customHeight="1">
      <c r="A133" s="10">
        <v>38869.0</v>
      </c>
      <c r="B133" s="46"/>
      <c r="C133" s="46">
        <v>-10.4</v>
      </c>
      <c r="D133" s="46">
        <v>58.7</v>
      </c>
      <c r="E133" s="46">
        <v>6369896.0</v>
      </c>
      <c r="F133" s="46">
        <v>50.0</v>
      </c>
      <c r="G133" s="46">
        <v>1095512.4</v>
      </c>
    </row>
    <row r="134" ht="15.75" customHeight="1">
      <c r="A134" s="10">
        <v>38899.0</v>
      </c>
      <c r="B134" s="46"/>
      <c r="C134" s="46">
        <v>-8.8</v>
      </c>
      <c r="D134" s="46">
        <v>47.7</v>
      </c>
      <c r="E134" s="46">
        <v>6411766.0</v>
      </c>
      <c r="F134" s="46">
        <v>37.8</v>
      </c>
      <c r="G134" s="46">
        <v>1118168.5</v>
      </c>
    </row>
    <row r="135" ht="15.75" customHeight="1">
      <c r="A135" s="10">
        <v>38930.0</v>
      </c>
      <c r="B135" s="46"/>
      <c r="C135" s="46">
        <v>-8.9</v>
      </c>
      <c r="D135" s="46">
        <v>37.3</v>
      </c>
      <c r="E135" s="46">
        <v>6476577.0</v>
      </c>
      <c r="F135" s="46">
        <v>15.1</v>
      </c>
      <c r="G135" s="46">
        <v>1111066.5</v>
      </c>
    </row>
    <row r="136" ht="15.75" customHeight="1">
      <c r="A136" s="10">
        <v>38961.0</v>
      </c>
      <c r="B136" s="46"/>
      <c r="C136" s="46">
        <v>-8.2</v>
      </c>
      <c r="D136" s="46">
        <v>18.1</v>
      </c>
      <c r="E136" s="46">
        <v>6504385.0</v>
      </c>
      <c r="F136" s="46">
        <v>-5.6</v>
      </c>
      <c r="G136" s="46">
        <v>1109129.6</v>
      </c>
    </row>
    <row r="137" ht="15.75" customHeight="1">
      <c r="A137" s="10">
        <v>38991.0</v>
      </c>
      <c r="B137" s="46"/>
      <c r="C137" s="46">
        <v>-8.7</v>
      </c>
      <c r="D137" s="46">
        <v>1.3</v>
      </c>
      <c r="E137" s="46">
        <v>6559473.0</v>
      </c>
      <c r="F137" s="46">
        <v>-22.2</v>
      </c>
      <c r="G137" s="46">
        <v>1116196.5</v>
      </c>
    </row>
    <row r="138" ht="15.75" customHeight="1">
      <c r="A138" s="10">
        <v>39022.0</v>
      </c>
      <c r="B138" s="46"/>
      <c r="C138" s="46">
        <v>-8.1</v>
      </c>
      <c r="D138" s="46">
        <v>-10.2</v>
      </c>
      <c r="E138" s="46">
        <v>6661978.0</v>
      </c>
      <c r="F138" s="46">
        <v>-27.4</v>
      </c>
      <c r="G138" s="46">
        <v>1118138.0</v>
      </c>
    </row>
    <row r="139" ht="15.75" customHeight="1">
      <c r="A139" s="10">
        <v>39052.0</v>
      </c>
      <c r="B139" s="46"/>
      <c r="C139" s="46">
        <v>-8.4</v>
      </c>
      <c r="D139" s="46">
        <v>-12.5</v>
      </c>
      <c r="E139" s="46">
        <v>6708524.0</v>
      </c>
      <c r="F139" s="46">
        <v>-28.5</v>
      </c>
      <c r="G139" s="46">
        <v>1140790.2</v>
      </c>
    </row>
    <row r="140" ht="15.75" customHeight="1">
      <c r="A140" s="10">
        <v>39083.0</v>
      </c>
      <c r="B140" s="46"/>
      <c r="C140" s="46">
        <v>-7.9</v>
      </c>
      <c r="D140" s="46">
        <v>-11.0</v>
      </c>
      <c r="E140" s="46">
        <v>6745496.0</v>
      </c>
      <c r="F140" s="46">
        <v>-19.0</v>
      </c>
      <c r="G140" s="46">
        <v>1145522.5</v>
      </c>
    </row>
    <row r="141" ht="15.75" customHeight="1">
      <c r="A141" s="10">
        <v>39114.0</v>
      </c>
      <c r="B141" s="46"/>
      <c r="C141" s="46">
        <v>-6.8</v>
      </c>
      <c r="D141" s="46">
        <v>-3.0</v>
      </c>
      <c r="E141" s="46">
        <v>6821494.0</v>
      </c>
      <c r="F141" s="46">
        <v>-3.6</v>
      </c>
      <c r="G141" s="46">
        <v>1137338.25</v>
      </c>
    </row>
    <row r="142" ht="15.75" customHeight="1">
      <c r="A142" s="10">
        <v>39142.0</v>
      </c>
      <c r="B142" s="46"/>
      <c r="C142" s="46">
        <v>-6.3</v>
      </c>
      <c r="D142" s="46">
        <v>-1.8</v>
      </c>
      <c r="E142" s="46">
        <v>6851132.0</v>
      </c>
      <c r="F142" s="46">
        <v>2.9</v>
      </c>
      <c r="G142" s="46">
        <v>1144662.4</v>
      </c>
    </row>
    <row r="143" ht="15.75" customHeight="1">
      <c r="A143" s="10">
        <v>39173.0</v>
      </c>
      <c r="B143" s="46"/>
      <c r="C143" s="46">
        <v>-5.4</v>
      </c>
      <c r="D143" s="46">
        <v>6.8</v>
      </c>
      <c r="E143" s="46">
        <v>6921748.0</v>
      </c>
      <c r="F143" s="46">
        <v>5.8</v>
      </c>
      <c r="G143" s="46">
        <v>1168385.75</v>
      </c>
    </row>
    <row r="144" ht="15.75" customHeight="1">
      <c r="A144" s="10">
        <v>39203.0</v>
      </c>
      <c r="B144" s="46"/>
      <c r="C144" s="46">
        <v>-5.3</v>
      </c>
      <c r="D144" s="46">
        <v>5.1</v>
      </c>
      <c r="E144" s="46">
        <v>6979410.0</v>
      </c>
      <c r="F144" s="46">
        <v>16.5</v>
      </c>
      <c r="G144" s="46">
        <v>1171411.25</v>
      </c>
    </row>
    <row r="145" ht="15.75" customHeight="1">
      <c r="A145" s="10">
        <v>39234.0</v>
      </c>
      <c r="B145" s="46"/>
      <c r="C145" s="46">
        <v>-4.5</v>
      </c>
      <c r="D145" s="46">
        <v>10.7</v>
      </c>
      <c r="E145" s="46">
        <v>7061036.0</v>
      </c>
      <c r="F145" s="46">
        <v>24.0</v>
      </c>
      <c r="G145" s="46">
        <v>1186034.0</v>
      </c>
    </row>
    <row r="146" ht="15.75" customHeight="1">
      <c r="A146" s="10">
        <v>39264.0</v>
      </c>
      <c r="B146" s="46">
        <v>55.6</v>
      </c>
      <c r="C146" s="46">
        <v>-1.5</v>
      </c>
      <c r="D146" s="46">
        <v>22.3</v>
      </c>
      <c r="E146" s="46">
        <v>7097722.0</v>
      </c>
      <c r="F146" s="46">
        <v>20.3</v>
      </c>
      <c r="G146" s="46">
        <v>1196531.0</v>
      </c>
    </row>
    <row r="147" ht="15.75" customHeight="1">
      <c r="A147" s="10">
        <v>39295.0</v>
      </c>
      <c r="B147" s="46">
        <v>54.9</v>
      </c>
      <c r="C147" s="46">
        <v>-2.0</v>
      </c>
      <c r="D147" s="46">
        <v>19.0</v>
      </c>
      <c r="E147" s="46">
        <v>7153554.0</v>
      </c>
      <c r="F147" s="46">
        <v>10.4</v>
      </c>
      <c r="G147" s="46">
        <v>1206068.4</v>
      </c>
    </row>
    <row r="148" ht="15.75" customHeight="1">
      <c r="A148" s="10">
        <v>39326.0</v>
      </c>
      <c r="B148" s="46">
        <v>54.3</v>
      </c>
      <c r="C148" s="46">
        <v>-2.0</v>
      </c>
      <c r="D148" s="46">
        <v>7.2</v>
      </c>
      <c r="E148" s="46">
        <v>7273698.0</v>
      </c>
      <c r="F148" s="46">
        <v>-6.9</v>
      </c>
      <c r="G148" s="46">
        <v>1236667.25</v>
      </c>
    </row>
    <row r="149" ht="15.75" customHeight="1">
      <c r="A149" s="10">
        <v>39356.0</v>
      </c>
      <c r="B149" s="46">
        <v>53.2</v>
      </c>
      <c r="C149" s="46">
        <v>-4.4</v>
      </c>
      <c r="D149" s="46">
        <v>-6.1</v>
      </c>
      <c r="E149" s="46">
        <v>7317747.0</v>
      </c>
      <c r="F149" s="46">
        <v>-18.1</v>
      </c>
      <c r="G149" s="46">
        <v>1257575.25</v>
      </c>
    </row>
    <row r="150" ht="15.75" customHeight="1">
      <c r="A150" s="10">
        <v>39387.0</v>
      </c>
      <c r="B150" s="46">
        <v>51.5</v>
      </c>
      <c r="C150" s="46">
        <v>-6.4</v>
      </c>
      <c r="D150" s="46">
        <v>-20.3</v>
      </c>
      <c r="E150" s="46">
        <v>7360271.0</v>
      </c>
      <c r="F150" s="46">
        <v>-18.1</v>
      </c>
      <c r="G150" s="46">
        <v>1271856.6</v>
      </c>
    </row>
    <row r="151" ht="15.75" customHeight="1">
      <c r="A151" s="10">
        <v>39417.0</v>
      </c>
      <c r="B151" s="46">
        <v>52.8</v>
      </c>
      <c r="C151" s="46">
        <v>-7.2</v>
      </c>
      <c r="D151" s="46">
        <v>-19.0</v>
      </c>
      <c r="E151" s="46">
        <v>7445003.0</v>
      </c>
      <c r="F151" s="46">
        <v>-32.5</v>
      </c>
      <c r="G151" s="46">
        <v>1403912.25</v>
      </c>
    </row>
    <row r="152" ht="15.75" customHeight="1">
      <c r="A152" s="10">
        <v>39448.0</v>
      </c>
      <c r="B152" s="46">
        <v>52.6</v>
      </c>
      <c r="C152" s="46">
        <v>-9.3</v>
      </c>
      <c r="D152" s="46">
        <v>-30.0</v>
      </c>
      <c r="E152" s="46">
        <v>7504620.0</v>
      </c>
      <c r="F152" s="46">
        <v>-37.2</v>
      </c>
      <c r="G152" s="46">
        <v>1321293.25</v>
      </c>
    </row>
    <row r="153" ht="15.75" customHeight="1">
      <c r="A153" s="10">
        <v>39479.0</v>
      </c>
      <c r="B153" s="46">
        <v>52.8</v>
      </c>
      <c r="C153" s="46">
        <v>-9.6</v>
      </c>
      <c r="D153" s="46">
        <v>-35.7</v>
      </c>
      <c r="E153" s="46">
        <v>7539505.0</v>
      </c>
      <c r="F153" s="46">
        <v>-41.6</v>
      </c>
      <c r="G153" s="46">
        <v>1336580.6</v>
      </c>
    </row>
    <row r="154" ht="15.75" customHeight="1">
      <c r="A154" s="10">
        <v>39508.0</v>
      </c>
      <c r="B154" s="46">
        <v>52.3</v>
      </c>
      <c r="C154" s="46">
        <v>-11.5</v>
      </c>
      <c r="D154" s="46">
        <v>-41.7</v>
      </c>
      <c r="E154" s="46">
        <v>7619314.0</v>
      </c>
      <c r="F154" s="46">
        <v>-39.5</v>
      </c>
      <c r="G154" s="46">
        <v>1367603.25</v>
      </c>
    </row>
    <row r="155" ht="15.75" customHeight="1">
      <c r="A155" s="10">
        <v>39539.0</v>
      </c>
      <c r="B155" s="46">
        <v>52.0</v>
      </c>
      <c r="C155" s="46">
        <v>-12.7</v>
      </c>
      <c r="D155" s="46">
        <v>-41.4</v>
      </c>
      <c r="E155" s="46">
        <v>7666609.0</v>
      </c>
      <c r="F155" s="46">
        <v>-32.0</v>
      </c>
      <c r="G155" s="46">
        <v>1390501.0</v>
      </c>
    </row>
    <row r="156" ht="15.75" customHeight="1">
      <c r="A156" s="10">
        <v>39569.0</v>
      </c>
      <c r="B156" s="46">
        <v>50.7</v>
      </c>
      <c r="C156" s="46">
        <v>-13.1</v>
      </c>
      <c r="D156" s="46">
        <v>-35.0</v>
      </c>
      <c r="E156" s="46">
        <v>7700327.0</v>
      </c>
      <c r="F156" s="46">
        <v>-40.7</v>
      </c>
      <c r="G156" s="46">
        <v>1416111.6</v>
      </c>
    </row>
    <row r="157" ht="15.75" customHeight="1">
      <c r="A157" s="10">
        <v>39600.0</v>
      </c>
      <c r="B157" s="46">
        <v>50.6</v>
      </c>
      <c r="C157" s="46">
        <v>-12.7</v>
      </c>
      <c r="D157" s="46">
        <v>-44.8</v>
      </c>
      <c r="E157" s="46">
        <v>7755444.0</v>
      </c>
      <c r="F157" s="46">
        <v>-41.4</v>
      </c>
      <c r="G157" s="46">
        <v>1438554.75</v>
      </c>
    </row>
    <row r="158" ht="15.75" customHeight="1">
      <c r="A158" s="10">
        <v>39630.0</v>
      </c>
      <c r="B158" s="46">
        <v>49.2</v>
      </c>
      <c r="C158" s="46">
        <v>-14.3</v>
      </c>
      <c r="D158" s="46">
        <v>-43.6</v>
      </c>
      <c r="E158" s="46">
        <v>7784342.0</v>
      </c>
      <c r="F158" s="46">
        <v>-52.4</v>
      </c>
      <c r="G158" s="46">
        <v>1433829.0</v>
      </c>
    </row>
    <row r="159" ht="15.75" customHeight="1">
      <c r="A159" s="10">
        <v>39661.0</v>
      </c>
      <c r="B159" s="46">
        <v>47.4</v>
      </c>
      <c r="C159" s="46">
        <v>-16.6</v>
      </c>
      <c r="D159" s="46">
        <v>-52.7</v>
      </c>
      <c r="E159" s="46">
        <v>7865599.0</v>
      </c>
      <c r="F159" s="46">
        <v>-63.9</v>
      </c>
      <c r="G159" s="46">
        <v>1446100.8</v>
      </c>
    </row>
    <row r="160" ht="15.75" customHeight="1">
      <c r="A160" s="10">
        <v>39692.0</v>
      </c>
      <c r="B160" s="46">
        <v>47.6</v>
      </c>
      <c r="C160" s="46">
        <v>-19.9</v>
      </c>
      <c r="D160" s="46">
        <v>-63.7</v>
      </c>
      <c r="E160" s="46">
        <v>8009188.0</v>
      </c>
      <c r="F160" s="46">
        <v>-55.5</v>
      </c>
      <c r="G160" s="46">
        <v>1469469.5</v>
      </c>
    </row>
    <row r="161" ht="15.75" customHeight="1">
      <c r="A161" s="10">
        <v>39722.0</v>
      </c>
      <c r="B161" s="46">
        <v>45.0</v>
      </c>
      <c r="C161" s="46">
        <v>-19.9</v>
      </c>
      <c r="D161" s="46">
        <v>-55.7</v>
      </c>
      <c r="E161" s="46">
        <v>8028154.0</v>
      </c>
      <c r="F161" s="46">
        <v>-41.1</v>
      </c>
      <c r="G161" s="46">
        <v>1920649.2</v>
      </c>
    </row>
    <row r="162" ht="15.75" customHeight="1">
      <c r="A162" s="10">
        <v>39753.0</v>
      </c>
      <c r="B162" s="46">
        <v>41.1</v>
      </c>
      <c r="C162" s="46">
        <v>-19.6</v>
      </c>
      <c r="D162" s="46">
        <v>-40.9</v>
      </c>
      <c r="E162" s="46">
        <v>8049819.0</v>
      </c>
      <c r="F162" s="46">
        <v>-63.0</v>
      </c>
      <c r="G162" s="46">
        <v>1973029.75</v>
      </c>
    </row>
    <row r="163" ht="15.75" customHeight="1">
      <c r="A163" s="10">
        <v>39783.0</v>
      </c>
      <c r="B163" s="46">
        <v>35.6</v>
      </c>
      <c r="C163" s="46">
        <v>-24.9</v>
      </c>
      <c r="D163" s="46">
        <v>-62.7</v>
      </c>
      <c r="E163" s="46">
        <v>8081699.0</v>
      </c>
      <c r="F163" s="46">
        <v>-53.5</v>
      </c>
      <c r="G163" s="46">
        <v>2038827.5</v>
      </c>
    </row>
    <row r="164" ht="15.75" customHeight="1">
      <c r="A164" s="10">
        <v>39814.0</v>
      </c>
      <c r="B164" s="46">
        <v>33.9</v>
      </c>
      <c r="C164" s="46">
        <v>-27.0</v>
      </c>
      <c r="D164" s="46">
        <v>-54.0</v>
      </c>
      <c r="E164" s="46">
        <v>8107560.0</v>
      </c>
      <c r="F164" s="46">
        <v>-45.2</v>
      </c>
      <c r="G164" s="46">
        <v>2018375.4</v>
      </c>
    </row>
    <row r="165" ht="15.75" customHeight="1">
      <c r="A165" s="10">
        <v>39845.0</v>
      </c>
      <c r="B165" s="46">
        <v>34.4</v>
      </c>
      <c r="C165" s="46">
        <v>-31.3</v>
      </c>
      <c r="D165" s="46">
        <v>-46.1</v>
      </c>
      <c r="E165" s="46">
        <v>8099134.0</v>
      </c>
      <c r="F165" s="46">
        <v>-31.0</v>
      </c>
      <c r="G165" s="46">
        <v>1851622.5</v>
      </c>
    </row>
    <row r="166" ht="15.75" customHeight="1">
      <c r="A166" s="10">
        <v>39873.0</v>
      </c>
      <c r="B166" s="46">
        <v>33.5</v>
      </c>
      <c r="C166" s="46">
        <v>-30.9</v>
      </c>
      <c r="D166" s="46">
        <v>-30.8</v>
      </c>
      <c r="E166" s="46">
        <v>8149254.0</v>
      </c>
      <c r="F166" s="46">
        <v>-5.8</v>
      </c>
      <c r="G166" s="46">
        <v>1823970.75</v>
      </c>
    </row>
    <row r="167" ht="15.75" customHeight="1">
      <c r="A167" s="10">
        <v>39904.0</v>
      </c>
      <c r="B167" s="46">
        <v>33.9</v>
      </c>
      <c r="C167" s="46">
        <v>-33.4</v>
      </c>
      <c r="D167" s="46">
        <v>-8.7</v>
      </c>
      <c r="E167" s="46">
        <v>8135247.0</v>
      </c>
      <c r="F167" s="46">
        <v>-3.5</v>
      </c>
      <c r="G167" s="46">
        <v>1832057.0</v>
      </c>
    </row>
    <row r="168" ht="15.75" customHeight="1">
      <c r="A168" s="10">
        <v>39934.0</v>
      </c>
      <c r="B168" s="46">
        <v>36.8</v>
      </c>
      <c r="C168" s="46">
        <v>-34.7</v>
      </c>
      <c r="D168" s="46">
        <v>-6.5</v>
      </c>
      <c r="E168" s="46">
        <v>8158627.0</v>
      </c>
      <c r="F168" s="46">
        <v>13.0</v>
      </c>
      <c r="G168" s="46">
        <v>1778992.4</v>
      </c>
    </row>
    <row r="169" ht="15.75" customHeight="1">
      <c r="A169" s="10">
        <v>39965.0</v>
      </c>
      <c r="B169" s="46">
        <v>40.7</v>
      </c>
      <c r="C169" s="46">
        <v>-30.8</v>
      </c>
      <c r="D169" s="46">
        <v>11.8</v>
      </c>
      <c r="E169" s="46">
        <v>8179065.0</v>
      </c>
      <c r="F169" s="46">
        <v>31.1</v>
      </c>
      <c r="G169" s="46">
        <v>1797874.75</v>
      </c>
    </row>
    <row r="170" ht="15.75" customHeight="1">
      <c r="A170" s="10">
        <v>39995.0</v>
      </c>
      <c r="B170" s="46">
        <v>42.6</v>
      </c>
      <c r="C170" s="46">
        <v>-28.2</v>
      </c>
      <c r="D170" s="46">
        <v>28.5</v>
      </c>
      <c r="E170" s="46">
        <v>8179271.0</v>
      </c>
      <c r="F170" s="46">
        <v>44.8</v>
      </c>
      <c r="G170" s="46">
        <v>1879638.0</v>
      </c>
    </row>
    <row r="171" ht="15.75" customHeight="1">
      <c r="A171" s="10">
        <v>40026.0</v>
      </c>
      <c r="B171" s="46">
        <v>46.3</v>
      </c>
      <c r="C171" s="46">
        <v>-25.1</v>
      </c>
      <c r="D171" s="46">
        <v>42.7</v>
      </c>
      <c r="E171" s="46">
        <v>8189923.0</v>
      </c>
      <c r="F171" s="46">
        <v>39.5</v>
      </c>
      <c r="G171" s="46">
        <v>1814346.75</v>
      </c>
    </row>
    <row r="172" ht="15.75" customHeight="1">
      <c r="A172" s="10">
        <v>40057.0</v>
      </c>
      <c r="B172" s="46">
        <v>48.2</v>
      </c>
      <c r="C172" s="46">
        <v>-23.0</v>
      </c>
      <c r="D172" s="46">
        <v>39.5</v>
      </c>
      <c r="E172" s="46">
        <v>8192044.0</v>
      </c>
      <c r="F172" s="46">
        <v>56.1</v>
      </c>
      <c r="G172" s="46">
        <v>1801293.75</v>
      </c>
    </row>
    <row r="173" ht="15.75" customHeight="1">
      <c r="A173" s="10">
        <v>40087.0</v>
      </c>
      <c r="B173" s="46">
        <v>49.0</v>
      </c>
      <c r="C173" s="46">
        <v>-22.1</v>
      </c>
      <c r="D173" s="46">
        <v>54.9</v>
      </c>
      <c r="E173" s="46">
        <v>8181064.0</v>
      </c>
      <c r="F173" s="46">
        <v>57.7</v>
      </c>
      <c r="G173" s="46">
        <v>1802763.8</v>
      </c>
    </row>
    <row r="174" ht="15.75" customHeight="1">
      <c r="A174" s="10">
        <v>40118.0</v>
      </c>
      <c r="B174" s="46">
        <v>50.7</v>
      </c>
      <c r="C174" s="46">
        <v>-19.2</v>
      </c>
      <c r="D174" s="46">
        <v>59.6</v>
      </c>
      <c r="E174" s="46">
        <v>8214962.0</v>
      </c>
      <c r="F174" s="46">
        <v>56.0</v>
      </c>
      <c r="G174" s="46">
        <v>1763488.0</v>
      </c>
    </row>
    <row r="175" ht="15.75" customHeight="1">
      <c r="A175" s="10">
        <v>40148.0</v>
      </c>
      <c r="B175" s="46">
        <v>51.2</v>
      </c>
      <c r="C175" s="46">
        <v>-17.8</v>
      </c>
      <c r="D175" s="46">
        <v>56.9</v>
      </c>
      <c r="E175" s="46">
        <v>8217822.0</v>
      </c>
      <c r="F175" s="46">
        <v>51.1</v>
      </c>
      <c r="G175" s="46">
        <v>1799696.5</v>
      </c>
    </row>
    <row r="176" ht="15.75" customHeight="1">
      <c r="A176" s="10">
        <v>40179.0</v>
      </c>
      <c r="B176" s="46">
        <v>51.6</v>
      </c>
      <c r="C176" s="46">
        <v>-17.5</v>
      </c>
      <c r="D176" s="46">
        <v>51.8</v>
      </c>
      <c r="E176" s="46">
        <v>8226957.0</v>
      </c>
      <c r="F176" s="46">
        <v>50.4</v>
      </c>
      <c r="G176" s="46">
        <v>1880625.6</v>
      </c>
    </row>
    <row r="177" ht="15.75" customHeight="1">
      <c r="A177" s="10">
        <v>40210.0</v>
      </c>
      <c r="B177" s="46">
        <v>52.4</v>
      </c>
      <c r="C177" s="46">
        <v>-16.3</v>
      </c>
      <c r="D177" s="46">
        <v>48.0</v>
      </c>
      <c r="E177" s="46">
        <v>8234522.0</v>
      </c>
      <c r="F177" s="46">
        <v>47.2</v>
      </c>
      <c r="G177" s="46">
        <v>1879768.75</v>
      </c>
    </row>
    <row r="178" ht="15.75" customHeight="1">
      <c r="A178" s="10">
        <v>40238.0</v>
      </c>
      <c r="B178" s="46">
        <v>54.2</v>
      </c>
      <c r="C178" s="46">
        <v>-15.8</v>
      </c>
      <c r="D178" s="46">
        <v>46.4</v>
      </c>
      <c r="E178" s="46">
        <v>8259083.0</v>
      </c>
      <c r="F178" s="46">
        <v>45.1</v>
      </c>
      <c r="G178" s="46">
        <v>1890404.5</v>
      </c>
    </row>
    <row r="179" ht="15.75" customHeight="1">
      <c r="A179" s="10">
        <v>40269.0</v>
      </c>
      <c r="B179" s="46">
        <v>56.6</v>
      </c>
      <c r="C179" s="46">
        <v>-17.4</v>
      </c>
      <c r="D179" s="46">
        <v>40.2</v>
      </c>
      <c r="E179" s="46">
        <v>8283944.0</v>
      </c>
      <c r="F179" s="46">
        <v>44.5</v>
      </c>
      <c r="G179" s="46">
        <v>1943854.0</v>
      </c>
    </row>
    <row r="180" ht="15.75" customHeight="1">
      <c r="A180" s="10">
        <v>40299.0</v>
      </c>
      <c r="B180" s="46">
        <v>57.6</v>
      </c>
      <c r="C180" s="46">
        <v>-17.4</v>
      </c>
      <c r="D180" s="46">
        <v>37.9</v>
      </c>
      <c r="E180" s="46">
        <v>8318740.0</v>
      </c>
      <c r="F180" s="46">
        <v>53.0</v>
      </c>
      <c r="G180" s="46">
        <v>2051150.5</v>
      </c>
    </row>
    <row r="181" ht="15.75" customHeight="1">
      <c r="A181" s="10">
        <v>40330.0</v>
      </c>
      <c r="B181" s="46">
        <v>55.8</v>
      </c>
      <c r="C181" s="46">
        <v>-15.1</v>
      </c>
      <c r="D181" s="46">
        <v>46.0</v>
      </c>
      <c r="E181" s="46">
        <v>8322157.0</v>
      </c>
      <c r="F181" s="46">
        <v>45.8</v>
      </c>
      <c r="G181" s="46">
        <v>2121154.75</v>
      </c>
    </row>
    <row r="182" ht="15.75" customHeight="1">
      <c r="A182" s="10">
        <v>40360.0</v>
      </c>
      <c r="B182" s="46">
        <v>55.6</v>
      </c>
      <c r="C182" s="46">
        <v>-17.9</v>
      </c>
      <c r="D182" s="46">
        <v>37.6</v>
      </c>
      <c r="E182" s="46">
        <v>8372169.0</v>
      </c>
      <c r="F182" s="46">
        <v>28.7</v>
      </c>
      <c r="G182" s="46">
        <v>2007363.8</v>
      </c>
    </row>
    <row r="183" ht="15.75" customHeight="1">
      <c r="A183" s="10">
        <v>40391.0</v>
      </c>
      <c r="B183" s="46">
        <v>56.7</v>
      </c>
      <c r="C183" s="46">
        <v>-17.4</v>
      </c>
      <c r="D183" s="46">
        <v>18.8</v>
      </c>
      <c r="E183" s="46">
        <v>8368936.0</v>
      </c>
      <c r="F183" s="46">
        <v>21.2</v>
      </c>
      <c r="G183" s="46">
        <v>1957995.5</v>
      </c>
    </row>
    <row r="184" ht="15.75" customHeight="1">
      <c r="A184" s="10">
        <v>40422.0</v>
      </c>
      <c r="B184" s="46">
        <v>55.1</v>
      </c>
      <c r="C184" s="46">
        <v>-14.2</v>
      </c>
      <c r="D184" s="46">
        <v>10.7</v>
      </c>
      <c r="E184" s="46">
        <v>8387602.0</v>
      </c>
      <c r="F184" s="46">
        <v>14.0</v>
      </c>
      <c r="G184" s="46">
        <v>1969579.0</v>
      </c>
    </row>
    <row r="185" ht="15.75" customHeight="1">
      <c r="A185" s="10">
        <v>40452.0</v>
      </c>
      <c r="B185" s="46">
        <v>53.7</v>
      </c>
      <c r="C185" s="46">
        <v>-11.7</v>
      </c>
      <c r="D185" s="46">
        <v>15.8</v>
      </c>
      <c r="E185" s="46">
        <v>8408045.0</v>
      </c>
      <c r="F185" s="46">
        <v>-4.3</v>
      </c>
      <c r="G185" s="46">
        <v>1876885.0</v>
      </c>
    </row>
    <row r="186" ht="15.75" customHeight="1">
      <c r="A186" s="10">
        <v>40483.0</v>
      </c>
      <c r="B186" s="46">
        <v>54.6</v>
      </c>
      <c r="C186" s="46">
        <v>-11.3</v>
      </c>
      <c r="D186" s="46">
        <v>4.4</v>
      </c>
      <c r="E186" s="46">
        <v>8420850.0</v>
      </c>
      <c r="F186" s="46">
        <v>-7.2</v>
      </c>
      <c r="G186" s="46">
        <v>1892420.25</v>
      </c>
    </row>
    <row r="187" ht="15.75" customHeight="1">
      <c r="A187" s="10">
        <v>40513.0</v>
      </c>
      <c r="B187" s="46">
        <v>55.3</v>
      </c>
      <c r="C187" s="46">
        <v>-11.3</v>
      </c>
      <c r="D187" s="46">
        <v>1.8</v>
      </c>
      <c r="E187" s="46">
        <v>8440019.0</v>
      </c>
      <c r="F187" s="46">
        <v>1.8</v>
      </c>
      <c r="G187" s="46">
        <v>1950321.8</v>
      </c>
    </row>
    <row r="188" ht="15.75" customHeight="1">
      <c r="A188" s="10">
        <v>40544.0</v>
      </c>
      <c r="B188" s="46">
        <v>57.1</v>
      </c>
      <c r="C188" s="46">
        <v>-9.9</v>
      </c>
      <c r="D188" s="46">
        <v>13.8</v>
      </c>
      <c r="E188" s="46">
        <v>8447741.0</v>
      </c>
      <c r="F188" s="46">
        <v>4.3</v>
      </c>
      <c r="G188" s="46">
        <v>1962432.75</v>
      </c>
    </row>
    <row r="189" ht="15.75" customHeight="1">
      <c r="A189" s="10">
        <v>40575.0</v>
      </c>
      <c r="B189" s="46">
        <v>57.3</v>
      </c>
      <c r="C189" s="46">
        <v>-11.5</v>
      </c>
      <c r="D189" s="46">
        <v>15.5</v>
      </c>
      <c r="E189" s="46">
        <v>8456861.0</v>
      </c>
      <c r="F189" s="46">
        <v>15.4</v>
      </c>
      <c r="G189" s="46">
        <v>1970627.75</v>
      </c>
    </row>
    <row r="190" ht="15.75" customHeight="1">
      <c r="A190" s="10">
        <v>40603.0</v>
      </c>
      <c r="B190" s="46">
        <v>59.0</v>
      </c>
      <c r="C190" s="46">
        <v>-11.6</v>
      </c>
      <c r="D190" s="46">
        <v>25.4</v>
      </c>
      <c r="E190" s="46">
        <v>8458282.0</v>
      </c>
      <c r="F190" s="46">
        <v>15.7</v>
      </c>
      <c r="G190" s="46">
        <v>1940167.5</v>
      </c>
    </row>
    <row r="191" ht="15.75" customHeight="1">
      <c r="A191" s="10">
        <v>40634.0</v>
      </c>
      <c r="B191" s="46">
        <v>57.5</v>
      </c>
      <c r="C191" s="46">
        <v>-10.2</v>
      </c>
      <c r="D191" s="46">
        <v>29.5</v>
      </c>
      <c r="E191" s="46">
        <v>8474932.0</v>
      </c>
      <c r="F191" s="46">
        <v>14.1</v>
      </c>
      <c r="G191" s="46">
        <v>1885721.4</v>
      </c>
    </row>
    <row r="192" ht="15.75" customHeight="1">
      <c r="A192" s="10">
        <v>40664.0</v>
      </c>
      <c r="B192" s="46">
        <v>58.0</v>
      </c>
      <c r="C192" s="46">
        <v>-10.9</v>
      </c>
      <c r="D192" s="46">
        <v>31.0</v>
      </c>
      <c r="E192" s="46">
        <v>8496741.0</v>
      </c>
      <c r="F192" s="46">
        <v>7.6</v>
      </c>
      <c r="G192" s="46">
        <v>1899248.75</v>
      </c>
    </row>
    <row r="193" ht="15.75" customHeight="1">
      <c r="A193" s="10">
        <v>40695.0</v>
      </c>
      <c r="B193" s="46">
        <v>54.6</v>
      </c>
      <c r="C193" s="46">
        <v>-12.0</v>
      </c>
      <c r="D193" s="46">
        <v>19.7</v>
      </c>
      <c r="E193" s="46">
        <v>8513597.0</v>
      </c>
      <c r="F193" s="46">
        <v>3.1</v>
      </c>
      <c r="G193" s="46">
        <v>1919570.0</v>
      </c>
    </row>
    <row r="194" ht="15.75" customHeight="1">
      <c r="A194" s="10">
        <v>40725.0</v>
      </c>
      <c r="B194" s="46">
        <v>52.0</v>
      </c>
      <c r="C194" s="46">
        <v>-10.1</v>
      </c>
      <c r="D194" s="46">
        <v>13.6</v>
      </c>
      <c r="E194" s="46">
        <v>8558394.0</v>
      </c>
      <c r="F194" s="46">
        <v>-9.0</v>
      </c>
      <c r="G194" s="46">
        <v>1965562.0</v>
      </c>
    </row>
    <row r="195" ht="15.75" customHeight="1">
      <c r="A195" s="10">
        <v>40756.0</v>
      </c>
      <c r="B195" s="46">
        <v>50.4</v>
      </c>
      <c r="C195" s="46">
        <v>-9.9</v>
      </c>
      <c r="D195" s="46">
        <v>-5.9</v>
      </c>
      <c r="E195" s="46">
        <v>8582066.0</v>
      </c>
      <c r="F195" s="46">
        <v>-15.1</v>
      </c>
      <c r="G195" s="46">
        <v>2056399.0</v>
      </c>
    </row>
    <row r="196" ht="15.75" customHeight="1">
      <c r="A196" s="10">
        <v>40787.0</v>
      </c>
      <c r="B196" s="46">
        <v>49.0</v>
      </c>
      <c r="C196" s="46">
        <v>-11.4</v>
      </c>
      <c r="D196" s="46">
        <v>-7.0</v>
      </c>
      <c r="E196" s="46">
        <v>8578549.0</v>
      </c>
      <c r="F196" s="46">
        <v>-37.6</v>
      </c>
      <c r="G196" s="46">
        <v>2152570.6</v>
      </c>
    </row>
    <row r="197" ht="15.75" customHeight="1">
      <c r="A197" s="10">
        <v>40817.0</v>
      </c>
      <c r="B197" s="46">
        <v>48.5</v>
      </c>
      <c r="C197" s="46">
        <v>-16.6</v>
      </c>
      <c r="D197" s="46">
        <v>-40.0</v>
      </c>
      <c r="E197" s="46">
        <v>8589560.0</v>
      </c>
      <c r="F197" s="46">
        <v>-43.3</v>
      </c>
      <c r="G197" s="46">
        <v>2313283.0</v>
      </c>
    </row>
    <row r="198" ht="15.75" customHeight="1">
      <c r="A198" s="10">
        <v>40848.0</v>
      </c>
      <c r="B198" s="46">
        <v>47.1</v>
      </c>
      <c r="C198" s="46">
        <v>-19.1</v>
      </c>
      <c r="D198" s="46">
        <v>-44.6</v>
      </c>
      <c r="E198" s="46">
        <v>8612694.0</v>
      </c>
      <c r="F198" s="46">
        <v>-48.3</v>
      </c>
      <c r="G198" s="46">
        <v>2371249.5</v>
      </c>
    </row>
    <row r="199" ht="15.75" customHeight="1">
      <c r="A199" s="10">
        <v>40878.0</v>
      </c>
      <c r="B199" s="46">
        <v>46.4</v>
      </c>
      <c r="C199" s="46">
        <v>-20.0</v>
      </c>
      <c r="D199" s="46">
        <v>-51.2</v>
      </c>
      <c r="E199" s="46">
        <v>8642356.0</v>
      </c>
      <c r="F199" s="46">
        <v>-55.2</v>
      </c>
      <c r="G199" s="46">
        <v>2571834.0</v>
      </c>
    </row>
    <row r="200" ht="15.75" customHeight="1">
      <c r="A200" s="10">
        <v>40909.0</v>
      </c>
      <c r="B200" s="46">
        <v>46.9</v>
      </c>
      <c r="C200" s="46">
        <v>-20.4</v>
      </c>
      <c r="D200" s="46">
        <v>-59.1</v>
      </c>
      <c r="E200" s="46">
        <v>8682424.0</v>
      </c>
      <c r="F200" s="46">
        <v>-53.8</v>
      </c>
      <c r="G200" s="46">
        <v>2688407.75</v>
      </c>
    </row>
    <row r="201" ht="15.75" customHeight="1">
      <c r="A201" s="10">
        <v>40940.0</v>
      </c>
      <c r="B201" s="46">
        <v>48.8</v>
      </c>
      <c r="C201" s="46">
        <v>-21.3</v>
      </c>
      <c r="D201" s="46">
        <v>-54.1</v>
      </c>
      <c r="E201" s="46">
        <v>8725115.0</v>
      </c>
      <c r="F201" s="46">
        <v>-21.6</v>
      </c>
      <c r="G201" s="46">
        <v>2668442.25</v>
      </c>
    </row>
    <row r="202" ht="15.75" customHeight="1">
      <c r="A202" s="10">
        <v>40969.0</v>
      </c>
      <c r="B202" s="46">
        <v>49.0</v>
      </c>
      <c r="C202" s="46">
        <v>-20.6</v>
      </c>
      <c r="D202" s="46">
        <v>-32.5</v>
      </c>
      <c r="E202" s="46">
        <v>8703641.0</v>
      </c>
      <c r="F202" s="46">
        <v>5.4</v>
      </c>
      <c r="G202" s="46">
        <v>2992502.2</v>
      </c>
    </row>
    <row r="203" ht="15.75" customHeight="1">
      <c r="A203" s="10">
        <v>41000.0</v>
      </c>
      <c r="B203" s="46">
        <v>46.0</v>
      </c>
      <c r="C203" s="46">
        <v>-20.0</v>
      </c>
      <c r="D203" s="46">
        <v>-8.1</v>
      </c>
      <c r="E203" s="46">
        <v>8745437.0</v>
      </c>
      <c r="F203" s="46">
        <v>22.3</v>
      </c>
      <c r="G203" s="46">
        <v>2967351.0</v>
      </c>
    </row>
    <row r="204" ht="15.75" customHeight="1">
      <c r="A204" s="10">
        <v>41030.0</v>
      </c>
      <c r="B204" s="46">
        <v>45.9</v>
      </c>
      <c r="C204" s="46">
        <v>-18.9</v>
      </c>
      <c r="D204" s="46">
        <v>11.0</v>
      </c>
      <c r="E204" s="46">
        <v>8783718.0</v>
      </c>
      <c r="F204" s="46">
        <v>23.4</v>
      </c>
      <c r="G204" s="46">
        <v>2971850.75</v>
      </c>
    </row>
    <row r="205" ht="15.75" customHeight="1">
      <c r="A205" s="10">
        <v>41061.0</v>
      </c>
      <c r="B205" s="46">
        <v>45.1</v>
      </c>
      <c r="C205" s="46">
        <v>-19.7</v>
      </c>
      <c r="D205" s="46">
        <v>13.1</v>
      </c>
      <c r="E205" s="46">
        <v>8825453.0</v>
      </c>
      <c r="F205" s="46">
        <v>10.8</v>
      </c>
      <c r="G205" s="46">
        <v>3039940.2</v>
      </c>
    </row>
    <row r="206" ht="15.75" customHeight="1">
      <c r="A206" s="10">
        <v>41091.0</v>
      </c>
      <c r="B206" s="46">
        <v>45.1</v>
      </c>
      <c r="C206" s="46">
        <v>-19.1</v>
      </c>
      <c r="D206" s="46">
        <v>-2.4</v>
      </c>
      <c r="E206" s="46">
        <v>8837393.0</v>
      </c>
      <c r="F206" s="46">
        <v>-16.9</v>
      </c>
      <c r="G206" s="46">
        <v>3089636.25</v>
      </c>
    </row>
    <row r="207" ht="15.75" customHeight="1">
      <c r="A207" s="10">
        <v>41122.0</v>
      </c>
      <c r="B207" s="46">
        <v>44.0</v>
      </c>
      <c r="C207" s="46">
        <v>-19.6</v>
      </c>
      <c r="D207" s="46">
        <v>-20.1</v>
      </c>
      <c r="E207" s="46">
        <v>8877809.0</v>
      </c>
      <c r="F207" s="46">
        <v>-19.6</v>
      </c>
      <c r="G207" s="46">
        <v>3084620.4</v>
      </c>
    </row>
    <row r="208" ht="15.75" customHeight="1">
      <c r="A208" s="10">
        <v>41153.0</v>
      </c>
      <c r="B208" s="46">
        <v>45.1</v>
      </c>
      <c r="C208" s="46">
        <v>-21.2</v>
      </c>
      <c r="D208" s="46">
        <v>-22.3</v>
      </c>
      <c r="E208" s="46">
        <v>8954193.0</v>
      </c>
      <c r="F208" s="46">
        <v>-25.5</v>
      </c>
      <c r="G208" s="46">
        <v>3066619.25</v>
      </c>
    </row>
    <row r="209" ht="15.75" customHeight="1">
      <c r="A209" s="10">
        <v>41183.0</v>
      </c>
      <c r="B209" s="46">
        <v>46.1</v>
      </c>
      <c r="C209" s="46">
        <v>-24.3</v>
      </c>
      <c r="D209" s="46">
        <v>-21.2</v>
      </c>
      <c r="E209" s="46">
        <v>8968406.0</v>
      </c>
      <c r="F209" s="46">
        <v>-18.2</v>
      </c>
      <c r="G209" s="46">
        <v>3052335.5</v>
      </c>
    </row>
    <row r="210" ht="15.75" customHeight="1">
      <c r="A210" s="10">
        <v>41214.0</v>
      </c>
      <c r="B210" s="46">
        <v>45.4</v>
      </c>
      <c r="C210" s="46">
        <v>-25.6</v>
      </c>
      <c r="D210" s="46">
        <v>-3.8</v>
      </c>
      <c r="E210" s="46">
        <v>9000926.0</v>
      </c>
      <c r="F210" s="46">
        <v>-11.5</v>
      </c>
      <c r="G210" s="46">
        <v>3037888.6</v>
      </c>
    </row>
    <row r="211" ht="15.75" customHeight="1">
      <c r="A211" s="10">
        <v>41244.0</v>
      </c>
      <c r="B211" s="46">
        <v>46.2</v>
      </c>
      <c r="C211" s="46">
        <v>-25.3</v>
      </c>
      <c r="D211" s="46">
        <v>-1.4</v>
      </c>
      <c r="E211" s="46">
        <v>9017006.0</v>
      </c>
      <c r="F211" s="46">
        <v>-15.7</v>
      </c>
      <c r="G211" s="46">
        <v>3021158.0</v>
      </c>
    </row>
    <row r="212" ht="15.75" customHeight="1">
      <c r="A212" s="10">
        <v>41275.0</v>
      </c>
      <c r="B212" s="46">
        <v>46.1</v>
      </c>
      <c r="C212" s="46">
        <v>-26.5</v>
      </c>
      <c r="D212" s="46">
        <v>-2.6</v>
      </c>
      <c r="E212" s="46">
        <v>9050067.0</v>
      </c>
      <c r="F212" s="46">
        <v>6.9</v>
      </c>
      <c r="G212" s="46">
        <v>2944922.25</v>
      </c>
    </row>
    <row r="213" ht="15.75" customHeight="1">
      <c r="A213" s="10">
        <v>41306.0</v>
      </c>
      <c r="B213" s="46">
        <v>47.9</v>
      </c>
      <c r="C213" s="46">
        <v>-26.2</v>
      </c>
      <c r="D213" s="46">
        <v>7.6</v>
      </c>
      <c r="E213" s="46">
        <v>9081946.0</v>
      </c>
      <c r="F213" s="46">
        <v>31.5</v>
      </c>
      <c r="G213" s="46">
        <v>2760453.5</v>
      </c>
    </row>
    <row r="214" ht="15.75" customHeight="1">
      <c r="A214" s="10">
        <v>41334.0</v>
      </c>
      <c r="B214" s="46">
        <v>47.9</v>
      </c>
      <c r="C214" s="46">
        <v>-23.9</v>
      </c>
      <c r="D214" s="46">
        <v>31.2</v>
      </c>
      <c r="E214" s="46">
        <v>9100650.0</v>
      </c>
      <c r="F214" s="46">
        <v>48.2</v>
      </c>
      <c r="G214" s="46">
        <v>2657047.2</v>
      </c>
    </row>
    <row r="215" ht="15.75" customHeight="1">
      <c r="A215" s="10">
        <v>41365.0</v>
      </c>
      <c r="B215" s="46">
        <v>46.8</v>
      </c>
      <c r="C215" s="46">
        <v>-23.6</v>
      </c>
      <c r="D215" s="46">
        <v>42.4</v>
      </c>
      <c r="E215" s="46">
        <v>9119573.0</v>
      </c>
      <c r="F215" s="46">
        <v>48.5</v>
      </c>
      <c r="G215" s="46">
        <v>2627516.5</v>
      </c>
    </row>
    <row r="216" ht="15.75" customHeight="1">
      <c r="A216" s="10">
        <v>41395.0</v>
      </c>
      <c r="B216" s="46">
        <v>46.7</v>
      </c>
      <c r="C216" s="46">
        <v>-23.5</v>
      </c>
      <c r="D216" s="46">
        <v>33.4</v>
      </c>
      <c r="E216" s="46">
        <v>9132494.0</v>
      </c>
      <c r="F216" s="46">
        <v>36.3</v>
      </c>
      <c r="G216" s="46">
        <v>2580290.8</v>
      </c>
    </row>
    <row r="217" ht="15.75" customHeight="1">
      <c r="A217" s="10">
        <v>41426.0</v>
      </c>
      <c r="B217" s="46">
        <v>48.3</v>
      </c>
      <c r="C217" s="46">
        <v>-22.2</v>
      </c>
      <c r="D217" s="46">
        <v>24.9</v>
      </c>
      <c r="E217" s="46">
        <v>9151148.0</v>
      </c>
      <c r="F217" s="46">
        <v>36.4</v>
      </c>
      <c r="G217" s="46">
        <v>2518257.0</v>
      </c>
    </row>
    <row r="218" ht="15.75" customHeight="1">
      <c r="A218" s="10">
        <v>41456.0</v>
      </c>
      <c r="B218" s="46">
        <v>48.8</v>
      </c>
      <c r="C218" s="46">
        <v>-21.9</v>
      </c>
      <c r="D218" s="46">
        <v>27.6</v>
      </c>
      <c r="E218" s="46">
        <v>9186625.0</v>
      </c>
      <c r="F218" s="46">
        <v>38.5</v>
      </c>
      <c r="G218" s="46">
        <v>2404705.0</v>
      </c>
    </row>
    <row r="219" ht="15.75" customHeight="1">
      <c r="A219" s="10">
        <v>41487.0</v>
      </c>
      <c r="B219" s="46">
        <v>50.3</v>
      </c>
      <c r="C219" s="46">
        <v>-18.7</v>
      </c>
      <c r="D219" s="46">
        <v>30.6</v>
      </c>
      <c r="E219" s="46">
        <v>9199513.0</v>
      </c>
      <c r="F219" s="46">
        <v>36.3</v>
      </c>
      <c r="G219" s="46">
        <v>2372080.8</v>
      </c>
    </row>
    <row r="220" ht="15.75" customHeight="1">
      <c r="A220" s="10">
        <v>41518.0</v>
      </c>
      <c r="B220" s="46">
        <v>51.4</v>
      </c>
      <c r="C220" s="46">
        <v>-17.4</v>
      </c>
      <c r="D220" s="46">
        <v>32.8</v>
      </c>
      <c r="E220" s="46">
        <v>9223327.0</v>
      </c>
      <c r="F220" s="46">
        <v>42.0</v>
      </c>
      <c r="G220" s="46">
        <v>2347859.25</v>
      </c>
    </row>
    <row r="221" ht="15.75" customHeight="1">
      <c r="A221" s="10">
        <v>41548.0</v>
      </c>
      <c r="B221" s="46">
        <v>51.1</v>
      </c>
      <c r="C221" s="46">
        <v>-15.6</v>
      </c>
      <c r="D221" s="46">
        <v>44.0</v>
      </c>
      <c r="E221" s="46">
        <v>9241117.0</v>
      </c>
      <c r="F221" s="46">
        <v>49.6</v>
      </c>
      <c r="G221" s="46">
        <v>2334426.75</v>
      </c>
    </row>
    <row r="222" ht="15.75" customHeight="1">
      <c r="A222" s="10">
        <v>41579.0</v>
      </c>
      <c r="B222" s="46">
        <v>51.3</v>
      </c>
      <c r="C222" s="46">
        <v>-14.9</v>
      </c>
      <c r="D222" s="46">
        <v>58.6</v>
      </c>
      <c r="E222" s="46">
        <v>9208173.0</v>
      </c>
      <c r="F222" s="46">
        <v>52.8</v>
      </c>
      <c r="G222" s="46">
        <v>2300679.6</v>
      </c>
    </row>
    <row r="223" ht="15.75" customHeight="1">
      <c r="A223" s="10">
        <v>41609.0</v>
      </c>
      <c r="B223" s="46">
        <v>51.6</v>
      </c>
      <c r="C223" s="46">
        <v>-14.5</v>
      </c>
      <c r="D223" s="46">
        <v>59.1</v>
      </c>
      <c r="E223" s="46">
        <v>9232473.0</v>
      </c>
      <c r="F223" s="46">
        <v>54.6</v>
      </c>
      <c r="G223" s="46">
        <v>2284186.0</v>
      </c>
    </row>
    <row r="224" ht="15.75" customHeight="1">
      <c r="A224" s="10">
        <v>41640.0</v>
      </c>
      <c r="B224" s="46">
        <v>52.7</v>
      </c>
      <c r="C224" s="46">
        <v>-15.4</v>
      </c>
      <c r="D224" s="46">
        <v>60.2</v>
      </c>
      <c r="E224" s="46">
        <v>9258893.0</v>
      </c>
      <c r="F224" s="46">
        <v>62.0</v>
      </c>
      <c r="G224" s="46">
        <v>2227056.8</v>
      </c>
    </row>
    <row r="225" ht="15.75" customHeight="1">
      <c r="A225" s="10">
        <v>41671.0</v>
      </c>
      <c r="B225" s="46">
        <v>54.0</v>
      </c>
      <c r="C225" s="46">
        <v>-13.6</v>
      </c>
      <c r="D225" s="46">
        <v>68.3</v>
      </c>
      <c r="E225" s="46">
        <v>9282583.0</v>
      </c>
      <c r="F225" s="46">
        <v>61.7</v>
      </c>
      <c r="G225" s="46">
        <v>2186591.0</v>
      </c>
    </row>
    <row r="226" ht="15.75" customHeight="1">
      <c r="A226" s="10">
        <v>41699.0</v>
      </c>
      <c r="B226" s="46">
        <v>53.2</v>
      </c>
      <c r="C226" s="46">
        <v>-11.6</v>
      </c>
      <c r="D226" s="46">
        <v>73.3</v>
      </c>
      <c r="E226" s="46">
        <v>9284719.0</v>
      </c>
      <c r="F226" s="46">
        <v>55.7</v>
      </c>
      <c r="G226" s="46">
        <v>2164569.5</v>
      </c>
    </row>
    <row r="227" ht="15.75" customHeight="1">
      <c r="A227" s="10">
        <v>41730.0</v>
      </c>
      <c r="B227" s="46">
        <v>53.0</v>
      </c>
      <c r="C227" s="46">
        <v>-12.8</v>
      </c>
      <c r="D227" s="46">
        <v>68.5</v>
      </c>
      <c r="E227" s="46">
        <v>9340031.0</v>
      </c>
      <c r="F227" s="46">
        <v>46.6</v>
      </c>
      <c r="G227" s="46">
        <v>2166732.5</v>
      </c>
    </row>
    <row r="228" ht="15.75" customHeight="1">
      <c r="A228" s="10">
        <v>41760.0</v>
      </c>
      <c r="B228" s="46">
        <v>53.4</v>
      </c>
      <c r="C228" s="46">
        <v>-9.4</v>
      </c>
      <c r="D228" s="46">
        <v>61.5</v>
      </c>
      <c r="E228" s="46">
        <v>9364989.0</v>
      </c>
      <c r="F228" s="46">
        <v>43.2</v>
      </c>
      <c r="G228" s="46">
        <v>2186135.4</v>
      </c>
    </row>
    <row r="229" ht="15.75" customHeight="1">
      <c r="A229" s="10">
        <v>41791.0</v>
      </c>
      <c r="B229" s="46">
        <v>52.2</v>
      </c>
      <c r="C229" s="46">
        <v>-8.6</v>
      </c>
      <c r="D229" s="46">
        <v>61.2</v>
      </c>
      <c r="E229" s="46">
        <v>9394195.0</v>
      </c>
      <c r="F229" s="46">
        <v>33.1</v>
      </c>
      <c r="G229" s="46">
        <v>2116167.75</v>
      </c>
    </row>
    <row r="230" ht="15.75" customHeight="1">
      <c r="A230" s="10">
        <v>41821.0</v>
      </c>
      <c r="B230" s="46">
        <v>51.8</v>
      </c>
      <c r="C230" s="46">
        <v>-7.2</v>
      </c>
      <c r="D230" s="46">
        <v>55.2</v>
      </c>
      <c r="E230" s="46">
        <v>9438600.0</v>
      </c>
      <c r="F230" s="46">
        <v>29.8</v>
      </c>
      <c r="G230" s="46">
        <v>2058540.5</v>
      </c>
    </row>
    <row r="231" ht="15.75" customHeight="1">
      <c r="A231" s="10">
        <v>41852.0</v>
      </c>
      <c r="B231" s="46">
        <v>51.8</v>
      </c>
      <c r="C231" s="46">
        <v>-7.6</v>
      </c>
      <c r="D231" s="46">
        <v>58.4</v>
      </c>
      <c r="E231" s="46">
        <v>9479682.0</v>
      </c>
      <c r="F231" s="46">
        <v>27.1</v>
      </c>
      <c r="G231" s="46">
        <v>2031970.4</v>
      </c>
    </row>
    <row r="232" ht="15.75" customHeight="1">
      <c r="A232" s="10">
        <v>41883.0</v>
      </c>
      <c r="B232" s="46">
        <v>50.7</v>
      </c>
      <c r="C232" s="46">
        <v>-8.4</v>
      </c>
      <c r="D232" s="46">
        <v>48.1</v>
      </c>
      <c r="E232" s="46">
        <v>9493285.0</v>
      </c>
      <c r="F232" s="46">
        <v>8.6</v>
      </c>
      <c r="G232" s="46">
        <v>2010580.0</v>
      </c>
    </row>
    <row r="233" ht="15.75" customHeight="1">
      <c r="A233" s="10">
        <v>41913.0</v>
      </c>
      <c r="B233" s="46">
        <v>50.3</v>
      </c>
      <c r="C233" s="46">
        <v>-10.2</v>
      </c>
      <c r="D233" s="46">
        <v>23.7</v>
      </c>
      <c r="E233" s="46">
        <v>9567818.0</v>
      </c>
      <c r="F233" s="46">
        <v>6.9</v>
      </c>
      <c r="G233" s="46">
        <v>2042186.2</v>
      </c>
    </row>
    <row r="234" ht="15.75" customHeight="1">
      <c r="A234" s="10">
        <v>41944.0</v>
      </c>
      <c r="B234" s="46">
        <v>50.6</v>
      </c>
      <c r="C234" s="46">
        <v>-11.5</v>
      </c>
      <c r="D234" s="46">
        <v>14.2</v>
      </c>
      <c r="E234" s="46">
        <v>9678900.0</v>
      </c>
      <c r="F234" s="46">
        <v>-3.6</v>
      </c>
      <c r="G234" s="46">
        <v>2036237.5</v>
      </c>
    </row>
    <row r="235" ht="15.75" customHeight="1">
      <c r="A235" s="10">
        <v>41974.0</v>
      </c>
      <c r="B235" s="46">
        <v>50.1</v>
      </c>
      <c r="C235" s="46">
        <v>-11.2</v>
      </c>
      <c r="D235" s="46">
        <v>4.1</v>
      </c>
      <c r="E235" s="46">
        <v>9751604.0</v>
      </c>
      <c r="F235" s="46">
        <v>11.5</v>
      </c>
      <c r="G235" s="46">
        <v>2089471.5</v>
      </c>
    </row>
    <row r="236" ht="15.75" customHeight="1">
      <c r="A236" s="10">
        <v>42005.0</v>
      </c>
      <c r="B236" s="46">
        <v>50.6</v>
      </c>
      <c r="C236" s="46">
        <v>-11.6</v>
      </c>
      <c r="D236" s="46">
        <v>11.0</v>
      </c>
      <c r="E236" s="46">
        <v>9764791.0</v>
      </c>
      <c r="F236" s="46">
        <v>34.9</v>
      </c>
      <c r="G236" s="46">
        <v>2176957.6</v>
      </c>
    </row>
    <row r="237" ht="15.75" customHeight="1">
      <c r="A237" s="10">
        <v>42036.0</v>
      </c>
      <c r="B237" s="46">
        <v>51.0</v>
      </c>
      <c r="C237" s="46">
        <v>-10.9</v>
      </c>
      <c r="D237" s="46">
        <v>31.8</v>
      </c>
      <c r="E237" s="46">
        <v>9806355.0</v>
      </c>
      <c r="F237" s="46">
        <v>48.4</v>
      </c>
      <c r="G237" s="46">
        <v>2156741.75</v>
      </c>
    </row>
    <row r="238" ht="15.75" customHeight="1">
      <c r="A238" s="10">
        <v>42064.0</v>
      </c>
      <c r="B238" s="46">
        <v>51.0</v>
      </c>
      <c r="C238" s="46">
        <v>-8.3</v>
      </c>
      <c r="D238" s="46">
        <v>45.2</v>
      </c>
      <c r="E238" s="46">
        <v>9857926.0</v>
      </c>
      <c r="F238" s="46">
        <v>53.0</v>
      </c>
      <c r="G238" s="46">
        <v>2171394.25</v>
      </c>
    </row>
    <row r="239" ht="15.75" customHeight="1">
      <c r="A239" s="10">
        <v>42095.0</v>
      </c>
      <c r="B239" s="46">
        <v>52.2</v>
      </c>
      <c r="C239" s="46">
        <v>-6.5</v>
      </c>
      <c r="D239" s="46">
        <v>52.7</v>
      </c>
      <c r="E239" s="46">
        <v>9914233.0</v>
      </c>
      <c r="F239" s="46">
        <v>54.8</v>
      </c>
      <c r="G239" s="46">
        <v>2346985.25</v>
      </c>
    </row>
    <row r="240" ht="15.75" customHeight="1">
      <c r="A240" s="10">
        <v>42125.0</v>
      </c>
      <c r="B240" s="46">
        <v>52.0</v>
      </c>
      <c r="C240" s="46">
        <v>-3.6</v>
      </c>
      <c r="D240" s="46">
        <v>62.4</v>
      </c>
      <c r="E240" s="46">
        <v>9944077.0</v>
      </c>
      <c r="F240" s="46">
        <v>53.3</v>
      </c>
      <c r="G240" s="46">
        <v>2391650.6</v>
      </c>
    </row>
    <row r="241" ht="15.75" customHeight="1">
      <c r="A241" s="10">
        <v>42156.0</v>
      </c>
      <c r="B241" s="46">
        <v>52.2</v>
      </c>
      <c r="C241" s="46">
        <v>-4.5</v>
      </c>
      <c r="D241" s="46">
        <v>64.8</v>
      </c>
      <c r="E241" s="46">
        <v>1.0007412E7</v>
      </c>
      <c r="F241" s="46">
        <v>41.9</v>
      </c>
      <c r="G241" s="46">
        <v>2465478.75</v>
      </c>
    </row>
    <row r="242" ht="15.75" customHeight="1">
      <c r="A242" s="10">
        <v>42186.0</v>
      </c>
      <c r="B242" s="46">
        <v>52.5</v>
      </c>
      <c r="C242" s="46">
        <v>-5.5</v>
      </c>
      <c r="D242" s="46">
        <v>61.2</v>
      </c>
      <c r="E242" s="46">
        <v>1.0034204E7</v>
      </c>
      <c r="F242" s="46">
        <v>31.5</v>
      </c>
      <c r="G242" s="46">
        <v>2517184.2</v>
      </c>
    </row>
    <row r="243" ht="15.75" customHeight="1">
      <c r="A243" s="10">
        <v>42217.0</v>
      </c>
      <c r="B243" s="46">
        <v>52.4</v>
      </c>
      <c r="C243" s="46">
        <v>-5.5</v>
      </c>
      <c r="D243" s="46">
        <v>53.7</v>
      </c>
      <c r="E243" s="46">
        <v>1.0066203E7</v>
      </c>
      <c r="F243" s="46">
        <v>29.7</v>
      </c>
      <c r="G243" s="46">
        <v>2546653.75</v>
      </c>
    </row>
    <row r="244" ht="15.75" customHeight="1">
      <c r="A244" s="10">
        <v>42248.0</v>
      </c>
      <c r="B244" s="46">
        <v>52.3</v>
      </c>
      <c r="C244" s="46">
        <v>-7.2</v>
      </c>
      <c r="D244" s="46">
        <v>42.7</v>
      </c>
      <c r="E244" s="46">
        <v>1.0129969E7</v>
      </c>
      <c r="F244" s="46">
        <v>25.0</v>
      </c>
      <c r="G244" s="46">
        <v>2594634.0</v>
      </c>
    </row>
    <row r="245" ht="15.75" customHeight="1">
      <c r="A245" s="10">
        <v>42278.0</v>
      </c>
      <c r="B245" s="46">
        <v>52.0</v>
      </c>
      <c r="C245" s="46">
        <v>-6.8</v>
      </c>
      <c r="D245" s="46">
        <v>47.6</v>
      </c>
      <c r="E245" s="46">
        <v>1.0187707E7</v>
      </c>
      <c r="F245" s="46">
        <v>12.1</v>
      </c>
      <c r="G245" s="46">
        <v>2643584.2</v>
      </c>
    </row>
    <row r="246" ht="15.75" customHeight="1">
      <c r="A246" s="10">
        <v>42309.0</v>
      </c>
      <c r="B246" s="46">
        <v>52.3</v>
      </c>
      <c r="C246" s="46">
        <v>-7.0</v>
      </c>
      <c r="D246" s="46">
        <v>33.3</v>
      </c>
      <c r="E246" s="46">
        <v>1.0217229E7</v>
      </c>
      <c r="F246" s="46">
        <v>1.9</v>
      </c>
      <c r="G246" s="46">
        <v>2687615.0</v>
      </c>
    </row>
    <row r="247" ht="15.75" customHeight="1">
      <c r="A247" s="10">
        <v>42339.0</v>
      </c>
      <c r="B247" s="46">
        <v>52.8</v>
      </c>
      <c r="C247" s="46">
        <v>-7.4</v>
      </c>
      <c r="D247" s="46">
        <v>30.1</v>
      </c>
      <c r="E247" s="46">
        <v>1.0275874E7</v>
      </c>
      <c r="F247" s="46">
        <v>10.4</v>
      </c>
      <c r="G247" s="46">
        <v>2744414.0</v>
      </c>
    </row>
    <row r="248" ht="15.75" customHeight="1">
      <c r="A248" s="10">
        <v>42370.0</v>
      </c>
      <c r="B248" s="46">
        <v>53.2</v>
      </c>
      <c r="C248" s="46">
        <v>-5.9</v>
      </c>
      <c r="D248" s="46">
        <v>28.3</v>
      </c>
      <c r="E248" s="46">
        <v>1.0317699E7</v>
      </c>
      <c r="F248" s="46">
        <v>16.1</v>
      </c>
      <c r="G248" s="46">
        <v>2785831.4</v>
      </c>
    </row>
    <row r="249" ht="15.75" customHeight="1">
      <c r="A249" s="10">
        <v>42401.0</v>
      </c>
      <c r="B249" s="46">
        <v>52.3</v>
      </c>
      <c r="C249" s="46">
        <v>-5.7</v>
      </c>
      <c r="D249" s="46">
        <v>33.9</v>
      </c>
      <c r="E249" s="46">
        <v>1.034008E7</v>
      </c>
      <c r="F249" s="46">
        <v>10.2</v>
      </c>
      <c r="G249" s="46">
        <v>2831847.5</v>
      </c>
    </row>
    <row r="250" ht="15.75" customHeight="1">
      <c r="A250" s="10">
        <v>42430.0</v>
      </c>
      <c r="B250" s="46">
        <v>51.2</v>
      </c>
      <c r="C250" s="46">
        <v>-6.3</v>
      </c>
      <c r="D250" s="46">
        <v>22.7</v>
      </c>
      <c r="E250" s="46">
        <v>1.0375574E7</v>
      </c>
      <c r="F250" s="46">
        <v>1.0</v>
      </c>
      <c r="G250" s="46">
        <v>2879014.0</v>
      </c>
    </row>
    <row r="251" ht="15.75" customHeight="1">
      <c r="A251" s="10">
        <v>42461.0</v>
      </c>
      <c r="B251" s="46">
        <v>51.6</v>
      </c>
      <c r="C251" s="46">
        <v>-8.8</v>
      </c>
      <c r="D251" s="46">
        <v>13.6</v>
      </c>
      <c r="E251" s="46">
        <v>1.041597E7</v>
      </c>
      <c r="F251" s="46">
        <v>4.3</v>
      </c>
      <c r="G251" s="46">
        <v>2968989.2</v>
      </c>
    </row>
    <row r="252" ht="15.75" customHeight="1">
      <c r="A252" s="10">
        <v>42491.0</v>
      </c>
      <c r="B252" s="46">
        <v>51.7</v>
      </c>
      <c r="C252" s="46">
        <v>-9.7</v>
      </c>
      <c r="D252" s="46">
        <v>10.6</v>
      </c>
      <c r="E252" s="46">
        <v>1.0453078E7</v>
      </c>
      <c r="F252" s="46">
        <v>11.2</v>
      </c>
      <c r="G252" s="46">
        <v>3043052.75</v>
      </c>
    </row>
    <row r="253" ht="15.75" customHeight="1">
      <c r="A253" s="10">
        <v>42522.0</v>
      </c>
      <c r="B253" s="46">
        <v>51.5</v>
      </c>
      <c r="C253" s="46">
        <v>-9.3</v>
      </c>
      <c r="D253" s="46">
        <v>21.5</v>
      </c>
      <c r="E253" s="46">
        <v>1.0514215E7</v>
      </c>
      <c r="F253" s="46">
        <v>6.4</v>
      </c>
      <c r="G253" s="46">
        <v>3103290.25</v>
      </c>
    </row>
    <row r="254" ht="15.75" customHeight="1">
      <c r="A254" s="10">
        <v>42552.0</v>
      </c>
      <c r="B254" s="46">
        <v>52.8</v>
      </c>
      <c r="C254" s="46">
        <v>-7.1</v>
      </c>
      <c r="D254" s="46">
        <v>16.8</v>
      </c>
      <c r="E254" s="46">
        <v>1.053782E7</v>
      </c>
      <c r="F254" s="46">
        <v>19.2</v>
      </c>
      <c r="G254" s="46">
        <v>3253972.4</v>
      </c>
    </row>
    <row r="255" ht="15.75" customHeight="1">
      <c r="A255" s="10">
        <v>42583.0</v>
      </c>
      <c r="B255" s="46">
        <v>52.0</v>
      </c>
      <c r="C255" s="46">
        <v>-7.3</v>
      </c>
      <c r="D255" s="46">
        <v>20.2</v>
      </c>
      <c r="E255" s="46">
        <v>1.0565383E7</v>
      </c>
      <c r="F255" s="46">
        <v>-6.8</v>
      </c>
      <c r="G255" s="46">
        <v>3306629.25</v>
      </c>
    </row>
    <row r="256" ht="15.75" customHeight="1">
      <c r="A256" s="10">
        <v>42614.0</v>
      </c>
      <c r="B256" s="46">
        <v>51.7</v>
      </c>
      <c r="C256" s="46">
        <v>-8.0</v>
      </c>
      <c r="D256" s="46">
        <v>-14.7</v>
      </c>
      <c r="E256" s="46">
        <v>1.059375E7</v>
      </c>
      <c r="F256" s="46">
        <v>0.5</v>
      </c>
      <c r="G256" s="46">
        <v>3380487.4</v>
      </c>
    </row>
    <row r="257" ht="15.75" customHeight="1">
      <c r="A257" s="10">
        <v>42644.0</v>
      </c>
      <c r="B257" s="46">
        <v>52.6</v>
      </c>
      <c r="C257" s="46">
        <v>-8.6</v>
      </c>
      <c r="D257" s="46">
        <v>4.6</v>
      </c>
      <c r="E257" s="46">
        <v>1.0671144E7</v>
      </c>
      <c r="F257" s="46">
        <v>0.5</v>
      </c>
      <c r="G257" s="46">
        <v>3480759.25</v>
      </c>
    </row>
    <row r="258" ht="15.75" customHeight="1">
      <c r="A258" s="10">
        <v>42675.0</v>
      </c>
      <c r="B258" s="46">
        <v>53.5</v>
      </c>
      <c r="C258" s="46">
        <v>-8.3</v>
      </c>
      <c r="D258" s="46">
        <v>5.4</v>
      </c>
      <c r="E258" s="46">
        <v>1.0709829E7</v>
      </c>
      <c r="F258" s="46">
        <v>6.2</v>
      </c>
      <c r="G258" s="46">
        <v>3543076.0</v>
      </c>
    </row>
    <row r="259" ht="15.75" customHeight="1">
      <c r="A259" s="10">
        <v>42705.0</v>
      </c>
      <c r="B259" s="46">
        <v>53.7</v>
      </c>
      <c r="C259" s="46">
        <v>-8.1</v>
      </c>
      <c r="D259" s="46">
        <v>12.3</v>
      </c>
      <c r="E259" s="46">
        <v>1.0751207E7</v>
      </c>
      <c r="F259" s="46">
        <v>13.8</v>
      </c>
      <c r="G259" s="46">
        <v>3635298.8</v>
      </c>
    </row>
    <row r="260" ht="15.75" customHeight="1">
      <c r="A260" s="10">
        <v>42736.0</v>
      </c>
      <c r="B260" s="46">
        <v>54.9</v>
      </c>
      <c r="C260" s="46">
        <v>-6.3</v>
      </c>
      <c r="D260" s="46">
        <v>15.8</v>
      </c>
      <c r="E260" s="46">
        <v>1.0804352E7</v>
      </c>
      <c r="F260" s="46">
        <v>13.8</v>
      </c>
      <c r="G260" s="46">
        <v>3707582.5</v>
      </c>
    </row>
    <row r="261" ht="15.75" customHeight="1">
      <c r="A261" s="10">
        <v>42767.0</v>
      </c>
      <c r="B261" s="46">
        <v>55.2</v>
      </c>
      <c r="C261" s="46">
        <v>-5.3</v>
      </c>
      <c r="D261" s="46">
        <v>18.1</v>
      </c>
      <c r="E261" s="46">
        <v>1.0867078E7</v>
      </c>
      <c r="F261" s="46">
        <v>16.6</v>
      </c>
      <c r="G261" s="46">
        <v>3779144.0</v>
      </c>
    </row>
    <row r="262" ht="15.75" customHeight="1">
      <c r="A262" s="10">
        <v>42795.0</v>
      </c>
      <c r="B262" s="46">
        <v>55.4</v>
      </c>
      <c r="C262" s="46">
        <v>-4.9</v>
      </c>
      <c r="D262" s="46">
        <v>23.2</v>
      </c>
      <c r="E262" s="46">
        <v>1.0899131E7</v>
      </c>
      <c r="F262" s="46">
        <v>10.4</v>
      </c>
      <c r="G262" s="46">
        <v>3898975.2</v>
      </c>
    </row>
    <row r="263" ht="15.75" customHeight="1">
      <c r="A263" s="10">
        <v>42826.0</v>
      </c>
      <c r="B263" s="46">
        <v>56.2</v>
      </c>
      <c r="C263" s="46">
        <v>-6.4</v>
      </c>
      <c r="D263" s="46">
        <v>17.1</v>
      </c>
      <c r="E263" s="46">
        <v>1.0927175E7</v>
      </c>
      <c r="F263" s="46">
        <v>12.8</v>
      </c>
      <c r="G263" s="46">
        <v>4133444.75</v>
      </c>
    </row>
    <row r="264" ht="15.75" customHeight="1">
      <c r="A264" s="10">
        <v>42856.0</v>
      </c>
      <c r="B264" s="46">
        <v>56.7</v>
      </c>
      <c r="C264" s="46">
        <v>-5.1</v>
      </c>
      <c r="D264" s="46">
        <v>25.6</v>
      </c>
      <c r="E264" s="46">
        <v>1.097551E7</v>
      </c>
      <c r="F264" s="46">
        <v>19.5</v>
      </c>
      <c r="G264" s="46">
        <v>4177198.0</v>
      </c>
    </row>
    <row r="265" ht="15.75" customHeight="1">
      <c r="A265" s="10">
        <v>42887.0</v>
      </c>
      <c r="B265" s="46">
        <v>57.0</v>
      </c>
      <c r="C265" s="46">
        <v>-3.6</v>
      </c>
      <c r="D265" s="46">
        <v>26.3</v>
      </c>
      <c r="E265" s="46">
        <v>1.1011389E7</v>
      </c>
      <c r="F265" s="46">
        <v>20.6</v>
      </c>
      <c r="G265" s="46">
        <v>4222254.6</v>
      </c>
    </row>
    <row r="266" ht="15.75" customHeight="1">
      <c r="A266" s="10">
        <v>42917.0</v>
      </c>
      <c r="B266" s="46">
        <v>57.4</v>
      </c>
      <c r="C266" s="46">
        <v>-3.3</v>
      </c>
      <c r="D266" s="46">
        <v>35.1</v>
      </c>
      <c r="E266" s="46">
        <v>1.1073093E7</v>
      </c>
      <c r="F266" s="46">
        <v>18.6</v>
      </c>
      <c r="G266" s="46">
        <v>4232005.0</v>
      </c>
    </row>
    <row r="267" ht="15.75" customHeight="1">
      <c r="A267" s="10">
        <v>42948.0</v>
      </c>
      <c r="B267" s="46">
        <v>56.6</v>
      </c>
      <c r="C267" s="46">
        <v>-1.3</v>
      </c>
      <c r="D267" s="46">
        <v>37.7</v>
      </c>
      <c r="E267" s="46">
        <v>1.1110308E7</v>
      </c>
      <c r="F267" s="46">
        <v>17.5</v>
      </c>
      <c r="G267" s="46">
        <v>4261758.5</v>
      </c>
    </row>
    <row r="268" ht="15.75" customHeight="1">
      <c r="A268" s="10">
        <v>42979.0</v>
      </c>
      <c r="B268" s="46">
        <v>57.4</v>
      </c>
      <c r="C268" s="46">
        <v>-1.7</v>
      </c>
      <c r="D268" s="46">
        <v>35.6</v>
      </c>
      <c r="E268" s="46">
        <v>1.1134562E7</v>
      </c>
      <c r="F268" s="46">
        <v>10.0</v>
      </c>
      <c r="G268" s="46">
        <v>4307842.6</v>
      </c>
    </row>
    <row r="269" ht="15.75" customHeight="1">
      <c r="A269" s="10">
        <v>43009.0</v>
      </c>
      <c r="B269" s="46">
        <v>58.1</v>
      </c>
      <c r="C269" s="46">
        <v>-1.5</v>
      </c>
      <c r="D269" s="46">
        <v>29.3</v>
      </c>
      <c r="E269" s="46">
        <v>1.1184395E7</v>
      </c>
      <c r="F269" s="46">
        <v>17.0</v>
      </c>
      <c r="G269" s="46">
        <v>4360984.25</v>
      </c>
    </row>
    <row r="270" ht="15.75" customHeight="1">
      <c r="A270" s="10">
        <v>43040.0</v>
      </c>
      <c r="B270" s="46">
        <v>58.5</v>
      </c>
      <c r="C270" s="46">
        <v>-1.2</v>
      </c>
      <c r="D270" s="46">
        <v>31.7</v>
      </c>
      <c r="E270" s="46">
        <v>1.1204402E7</v>
      </c>
      <c r="F270" s="46">
        <v>17.6</v>
      </c>
      <c r="G270" s="46">
        <v>4400067.5</v>
      </c>
    </row>
    <row r="271" ht="15.75" customHeight="1">
      <c r="A271" s="10">
        <v>43070.0</v>
      </c>
      <c r="B271" s="46">
        <v>60.1</v>
      </c>
      <c r="C271" s="46">
        <v>-1.1</v>
      </c>
      <c r="D271" s="46">
        <v>26.7</v>
      </c>
      <c r="E271" s="46">
        <v>1.1255664E7</v>
      </c>
      <c r="F271" s="46">
        <v>18.7</v>
      </c>
      <c r="G271" s="46">
        <v>4465614.6</v>
      </c>
    </row>
    <row r="272" ht="15.75" customHeight="1">
      <c r="A272" s="10">
        <v>43101.0</v>
      </c>
      <c r="B272" s="46">
        <v>60.6</v>
      </c>
      <c r="C272" s="46">
        <v>0.01</v>
      </c>
      <c r="D272" s="46">
        <v>30.9</v>
      </c>
      <c r="E272" s="46">
        <v>1.1273002E7</v>
      </c>
      <c r="F272" s="46">
        <v>17.4</v>
      </c>
      <c r="G272" s="46">
        <v>4478950.25</v>
      </c>
    </row>
    <row r="273" ht="15.75" customHeight="1">
      <c r="A273" s="10">
        <v>43132.0</v>
      </c>
      <c r="B273" s="46">
        <v>59.6</v>
      </c>
      <c r="C273" s="46">
        <v>0.5</v>
      </c>
      <c r="D273" s="46">
        <v>29.0</v>
      </c>
      <c r="E273" s="46">
        <v>1.1287281E7</v>
      </c>
      <c r="F273" s="46">
        <v>20.4</v>
      </c>
      <c r="G273" s="46">
        <v>4500286.0</v>
      </c>
    </row>
    <row r="274" ht="15.75" customHeight="1">
      <c r="A274" s="10">
        <v>43160.0</v>
      </c>
      <c r="B274" s="46">
        <v>58.6</v>
      </c>
      <c r="C274" s="46">
        <v>1.4</v>
      </c>
      <c r="D274" s="46">
        <v>31.8</v>
      </c>
      <c r="E274" s="46">
        <v>1.1303898E7</v>
      </c>
      <c r="F274" s="46">
        <v>17.8</v>
      </c>
      <c r="G274" s="46">
        <v>4530147.2</v>
      </c>
    </row>
    <row r="275" ht="15.75" customHeight="1">
      <c r="A275" s="10">
        <v>43191.0</v>
      </c>
      <c r="B275" s="46">
        <v>56.6</v>
      </c>
      <c r="C275" s="46">
        <v>0.1</v>
      </c>
      <c r="D275" s="46">
        <v>29.3</v>
      </c>
      <c r="E275" s="46">
        <v>1.1401587E7</v>
      </c>
      <c r="F275" s="46">
        <v>5.1</v>
      </c>
      <c r="G275" s="46">
        <v>4544491.75</v>
      </c>
    </row>
    <row r="276" ht="15.75" customHeight="1">
      <c r="A276" s="10">
        <v>43221.0</v>
      </c>
      <c r="B276" s="46">
        <v>56.2</v>
      </c>
      <c r="C276" s="46">
        <v>0.1</v>
      </c>
      <c r="D276" s="46">
        <v>13.4</v>
      </c>
      <c r="E276" s="46">
        <v>1.1478965E7</v>
      </c>
      <c r="F276" s="46">
        <v>-8.2</v>
      </c>
      <c r="G276" s="46">
        <v>4559713.25</v>
      </c>
    </row>
    <row r="277" ht="15.75" customHeight="1">
      <c r="A277" s="10">
        <v>43252.0</v>
      </c>
      <c r="B277" s="46">
        <v>55.5</v>
      </c>
      <c r="C277" s="46">
        <v>0.4</v>
      </c>
      <c r="D277" s="46">
        <v>1.9</v>
      </c>
      <c r="E277" s="46">
        <v>1.1487398E7</v>
      </c>
      <c r="F277" s="46">
        <v>-8.2</v>
      </c>
      <c r="G277" s="46">
        <v>4580302.4</v>
      </c>
    </row>
    <row r="278" ht="15.75" customHeight="1">
      <c r="A278" s="10">
        <v>43282.0</v>
      </c>
      <c r="B278" s="46">
        <v>54.9</v>
      </c>
      <c r="C278" s="46">
        <v>0.2</v>
      </c>
      <c r="D278" s="46">
        <v>2.4</v>
      </c>
      <c r="E278" s="46">
        <v>1.1510648E7</v>
      </c>
      <c r="F278" s="46">
        <v>-16.1</v>
      </c>
      <c r="G278" s="46">
        <v>4602025.5</v>
      </c>
    </row>
    <row r="279" ht="15.75" customHeight="1">
      <c r="A279" s="10">
        <v>43313.0</v>
      </c>
      <c r="B279" s="46">
        <v>55.1</v>
      </c>
      <c r="C279" s="46">
        <v>-0.5</v>
      </c>
      <c r="D279" s="46">
        <v>-12.6</v>
      </c>
      <c r="E279" s="46">
        <v>1.1560458E7</v>
      </c>
      <c r="F279" s="46">
        <v>-24.7</v>
      </c>
      <c r="G279" s="46">
        <v>4613038.0</v>
      </c>
    </row>
    <row r="280" ht="15.75" customHeight="1">
      <c r="A280" s="10">
        <v>43344.0</v>
      </c>
      <c r="B280" s="46">
        <v>54.6</v>
      </c>
      <c r="C280" s="46">
        <v>-0.6</v>
      </c>
      <c r="D280" s="46">
        <v>-18.7</v>
      </c>
      <c r="E280" s="46">
        <v>1.1627536E7</v>
      </c>
      <c r="F280" s="46">
        <v>-13.7</v>
      </c>
      <c r="G280" s="46">
        <v>4634604.75</v>
      </c>
    </row>
    <row r="281" ht="15.75" customHeight="1">
      <c r="A281" s="10">
        <v>43374.0</v>
      </c>
      <c r="B281" s="46">
        <v>53.2</v>
      </c>
      <c r="C281" s="46">
        <v>-1.9</v>
      </c>
      <c r="D281" s="46">
        <v>-11.1</v>
      </c>
      <c r="E281" s="46">
        <v>1.1671079E7</v>
      </c>
      <c r="F281" s="46">
        <v>-10.6</v>
      </c>
      <c r="G281" s="46">
        <v>4627752.0</v>
      </c>
    </row>
    <row r="282" ht="15.75" customHeight="1">
      <c r="A282" s="10">
        <v>43405.0</v>
      </c>
      <c r="B282" s="46">
        <v>52.0</v>
      </c>
      <c r="C282" s="46">
        <v>-2.9</v>
      </c>
      <c r="D282" s="46">
        <v>-7.2</v>
      </c>
      <c r="E282" s="46">
        <v>1.1700944E7</v>
      </c>
      <c r="F282" s="46">
        <v>-24.7</v>
      </c>
      <c r="G282" s="46">
        <v>4638775.6</v>
      </c>
    </row>
    <row r="283" ht="15.75" customHeight="1">
      <c r="A283" s="10">
        <v>43435.0</v>
      </c>
      <c r="B283" s="46">
        <v>51.8</v>
      </c>
      <c r="C283" s="46">
        <v>-2.7</v>
      </c>
      <c r="D283" s="46">
        <v>-19.4</v>
      </c>
      <c r="E283" s="46">
        <v>1.1717261E7</v>
      </c>
      <c r="F283" s="46">
        <v>-24.1</v>
      </c>
      <c r="G283" s="46">
        <v>4668755.75</v>
      </c>
    </row>
    <row r="284" ht="15.75" customHeight="1">
      <c r="A284" s="10">
        <v>43466.0</v>
      </c>
      <c r="B284" s="46">
        <v>51.4</v>
      </c>
      <c r="C284" s="46">
        <v>-3.9</v>
      </c>
      <c r="D284" s="46">
        <v>-22.0</v>
      </c>
      <c r="E284" s="46">
        <v>1.1799984E7</v>
      </c>
      <c r="F284" s="46">
        <v>-17.5</v>
      </c>
      <c r="G284" s="46">
        <v>4703137.5</v>
      </c>
    </row>
    <row r="285" ht="15.75" customHeight="1">
      <c r="A285" s="10">
        <v>43497.0</v>
      </c>
      <c r="B285" s="46">
        <v>50.5</v>
      </c>
      <c r="C285" s="46">
        <v>-6.2</v>
      </c>
      <c r="D285" s="46">
        <v>-21.0</v>
      </c>
      <c r="E285" s="46">
        <v>1.1897287E7</v>
      </c>
      <c r="F285" s="46">
        <v>-15.0</v>
      </c>
      <c r="G285" s="46">
        <v>4696705.0</v>
      </c>
    </row>
    <row r="286" ht="15.75" customHeight="1">
      <c r="A286" s="10">
        <v>43525.0</v>
      </c>
      <c r="B286" s="46">
        <v>49.3</v>
      </c>
      <c r="C286" s="46">
        <v>-7.9</v>
      </c>
      <c r="D286" s="46">
        <v>-16.6</v>
      </c>
      <c r="E286" s="46">
        <v>1.1943808E7</v>
      </c>
      <c r="F286" s="46">
        <v>-13.4</v>
      </c>
      <c r="G286" s="46">
        <v>4686196.2</v>
      </c>
    </row>
    <row r="287" ht="15.75" customHeight="1">
      <c r="A287" s="10">
        <v>43556.0</v>
      </c>
      <c r="B287" s="46">
        <v>47.5</v>
      </c>
      <c r="C287" s="46">
        <v>-7.4</v>
      </c>
      <c r="D287" s="46">
        <v>-2.5</v>
      </c>
      <c r="E287" s="46">
        <v>1.2017568E7</v>
      </c>
      <c r="F287" s="46">
        <v>-3.6</v>
      </c>
      <c r="G287" s="46">
        <v>4701744.417652862</v>
      </c>
    </row>
    <row r="288" ht="15.75" customHeight="1">
      <c r="A288" s="10">
        <v>43586.0</v>
      </c>
      <c r="B288" s="46">
        <v>47.9</v>
      </c>
      <c r="C288" s="46">
        <v>-7.2</v>
      </c>
      <c r="D288" s="46">
        <v>4.5</v>
      </c>
      <c r="E288" s="46">
        <v>1.2056341E7</v>
      </c>
      <c r="F288" s="46">
        <v>3.1</v>
      </c>
      <c r="G288" s="46">
        <v>4686547.6</v>
      </c>
    </row>
    <row r="289" ht="15.75" customHeight="1">
      <c r="A289" s="10">
        <v>43617.0</v>
      </c>
      <c r="B289" s="46">
        <v>47.7</v>
      </c>
      <c r="C289" s="46">
        <v>-7.9</v>
      </c>
      <c r="D289" s="46">
        <v>-1.6</v>
      </c>
      <c r="E289" s="46">
        <v>1.2130349E7</v>
      </c>
      <c r="F289" s="46">
        <v>-2.1</v>
      </c>
      <c r="G289" s="46">
        <v>4686771.5</v>
      </c>
    </row>
    <row r="290" ht="15.75" customHeight="1">
      <c r="A290" s="10">
        <v>43647.0</v>
      </c>
      <c r="B290" s="46">
        <v>47.6</v>
      </c>
      <c r="C290" s="46">
        <v>-6.5</v>
      </c>
      <c r="D290" s="46">
        <v>-20.2</v>
      </c>
      <c r="E290" s="46">
        <v>1.2245139E7</v>
      </c>
      <c r="F290" s="46">
        <v>-21.1</v>
      </c>
      <c r="G290" s="46">
        <v>4683934.25</v>
      </c>
    </row>
    <row r="291" ht="15.75" customHeight="1">
      <c r="A291" s="10">
        <v>43678.0</v>
      </c>
      <c r="B291" s="46">
        <v>46.5</v>
      </c>
      <c r="C291" s="46">
        <v>-7.2</v>
      </c>
      <c r="D291" s="46">
        <v>-20.3</v>
      </c>
      <c r="E291" s="46">
        <v>1.2273963E7</v>
      </c>
      <c r="F291" s="46">
        <v>-24.5</v>
      </c>
      <c r="G291" s="46">
        <v>4679544.6</v>
      </c>
    </row>
    <row r="292" ht="15.75" customHeight="1">
      <c r="A292" s="10">
        <v>43709.0</v>
      </c>
      <c r="B292" s="46">
        <v>47.0</v>
      </c>
      <c r="C292" s="46">
        <v>-6.6</v>
      </c>
      <c r="D292" s="46">
        <v>-43.6</v>
      </c>
      <c r="E292" s="46">
        <v>1.2334521E7</v>
      </c>
      <c r="F292" s="46">
        <v>-44.1</v>
      </c>
      <c r="G292" s="46">
        <v>4664330.5</v>
      </c>
    </row>
    <row r="293" ht="15.75" customHeight="1">
      <c r="A293" s="10">
        <v>43739.0</v>
      </c>
      <c r="B293" s="46">
        <v>45.7</v>
      </c>
      <c r="C293" s="46">
        <v>-7.1</v>
      </c>
      <c r="D293" s="46">
        <v>-22.4</v>
      </c>
      <c r="E293" s="46">
        <v>1.2374327E7</v>
      </c>
      <c r="F293" s="46">
        <v>-22.5</v>
      </c>
      <c r="G293" s="46">
        <v>4688840.25</v>
      </c>
    </row>
    <row r="294" ht="15.75" customHeight="1">
      <c r="A294" s="10">
        <v>43770.0</v>
      </c>
      <c r="B294" s="46">
        <v>45.9</v>
      </c>
      <c r="C294" s="46">
        <v>-6.5</v>
      </c>
      <c r="D294" s="46">
        <v>-23.5</v>
      </c>
      <c r="E294" s="46">
        <v>1.3379927E7</v>
      </c>
      <c r="F294" s="46">
        <v>-22.8</v>
      </c>
      <c r="G294" s="46">
        <v>4689426.8</v>
      </c>
    </row>
    <row r="295" ht="15.75" customHeight="1">
      <c r="A295" s="10">
        <v>43800.0</v>
      </c>
      <c r="B295" s="46">
        <v>46.9</v>
      </c>
      <c r="C295" s="46">
        <v>-7.6</v>
      </c>
      <c r="D295" s="46">
        <v>-1.0</v>
      </c>
      <c r="E295" s="46">
        <v>1.2401548E7</v>
      </c>
      <c r="F295" s="46">
        <v>-2.1</v>
      </c>
      <c r="G295" s="46">
        <v>4699359.75</v>
      </c>
    </row>
    <row r="296" ht="15.75" customHeight="1">
      <c r="A296" s="10">
        <v>43831.0</v>
      </c>
      <c r="B296" s="46">
        <v>46.3</v>
      </c>
      <c r="C296" s="46">
        <v>-7.2</v>
      </c>
      <c r="D296" s="46">
        <v>11.2</v>
      </c>
      <c r="E296" s="46">
        <v>1.2484479E7</v>
      </c>
      <c r="F296" s="46">
        <v>10.7</v>
      </c>
      <c r="G296" s="46">
        <v>4665176.6</v>
      </c>
    </row>
    <row r="297" ht="15.75" customHeight="1">
      <c r="A297" s="10">
        <v>43862.0</v>
      </c>
      <c r="B297" s="46">
        <v>47.9</v>
      </c>
      <c r="C297" s="46">
        <v>-8.1</v>
      </c>
      <c r="D297" s="46">
        <v>25.6</v>
      </c>
      <c r="E297" s="46">
        <v>1.2774486E7</v>
      </c>
      <c r="F297" s="46">
        <v>26.7</v>
      </c>
      <c r="G297" s="46">
        <v>4682194.75</v>
      </c>
    </row>
    <row r="298" ht="15.75" customHeight="1">
      <c r="A298" s="10">
        <v>43891.0</v>
      </c>
      <c r="B298" s="46">
        <v>49.2</v>
      </c>
      <c r="C298" s="46">
        <v>-8.1</v>
      </c>
      <c r="D298" s="46">
        <v>10.4</v>
      </c>
      <c r="E298" s="46">
        <v>1.2955954E7</v>
      </c>
      <c r="F298" s="46">
        <v>8.7</v>
      </c>
      <c r="G298" s="46">
        <v>4849101.75</v>
      </c>
    </row>
    <row r="299" ht="15.75" customHeight="1">
      <c r="A299" s="10">
        <v>43922.0</v>
      </c>
      <c r="B299" s="46">
        <v>44.5</v>
      </c>
      <c r="C299" s="46">
        <v>-6.6</v>
      </c>
      <c r="D299" s="46">
        <v>-49.5</v>
      </c>
      <c r="E299" s="46">
        <v>1.3112573E7</v>
      </c>
      <c r="F299" s="46">
        <v>-49.5</v>
      </c>
      <c r="G299" s="46">
        <v>5271820.0</v>
      </c>
    </row>
    <row r="300" ht="15.75" customHeight="1">
      <c r="A300" s="10">
        <v>43952.0</v>
      </c>
      <c r="B300" s="46">
        <v>33.4</v>
      </c>
      <c r="C300" s="46">
        <v>-11.6</v>
      </c>
      <c r="D300" s="46">
        <v>25.2</v>
      </c>
      <c r="E300" s="46">
        <v>1.3182065E7</v>
      </c>
      <c r="F300" s="46">
        <v>28.2</v>
      </c>
      <c r="G300" s="46">
        <v>5500610.4</v>
      </c>
    </row>
    <row r="301" ht="15.75" customHeight="1">
      <c r="A301" s="10">
        <v>43983.0</v>
      </c>
      <c r="B301" s="46">
        <v>39.4</v>
      </c>
      <c r="C301" s="46">
        <v>-22.7</v>
      </c>
      <c r="D301" s="46">
        <v>46.0</v>
      </c>
      <c r="E301" s="46">
        <v>1.3278135E7</v>
      </c>
      <c r="F301" s="46">
        <v>51.0</v>
      </c>
      <c r="G301" s="46">
        <v>5789552.5</v>
      </c>
    </row>
    <row r="302" ht="15.75" customHeight="1">
      <c r="A302" s="10">
        <v>44013.0</v>
      </c>
      <c r="B302" s="46">
        <v>47.4</v>
      </c>
      <c r="C302" s="46">
        <v>-18.8</v>
      </c>
      <c r="D302" s="46">
        <v>58.6</v>
      </c>
      <c r="E302" s="46">
        <v>1.3323236E7</v>
      </c>
      <c r="F302" s="46">
        <v>63.4</v>
      </c>
      <c r="G302" s="46">
        <v>6326595.8</v>
      </c>
    </row>
    <row r="303" ht="15.75" customHeight="1">
      <c r="A303" s="10">
        <v>44044.0</v>
      </c>
      <c r="B303" s="46">
        <v>51.8</v>
      </c>
      <c r="C303" s="46">
        <v>-14.7</v>
      </c>
      <c r="D303" s="46">
        <v>59.6</v>
      </c>
      <c r="E303" s="46">
        <v>1.3447998E7</v>
      </c>
      <c r="F303" s="46">
        <v>59.3</v>
      </c>
      <c r="G303" s="46">
        <v>6413562.0</v>
      </c>
    </row>
    <row r="304" ht="15.75" customHeight="1">
      <c r="A304" s="10">
        <v>44075.0</v>
      </c>
      <c r="B304" s="46">
        <v>51.7</v>
      </c>
      <c r="C304" s="46">
        <v>-15.0</v>
      </c>
      <c r="D304" s="46">
        <v>64.0</v>
      </c>
      <c r="E304" s="46">
        <v>1.3512027E7</v>
      </c>
      <c r="F304" s="46">
        <v>71.5</v>
      </c>
      <c r="G304" s="46">
        <v>6492676.5</v>
      </c>
    </row>
    <row r="305" ht="15.75" customHeight="1">
      <c r="A305" s="10">
        <v>44105.0</v>
      </c>
      <c r="B305" s="46">
        <v>54.8</v>
      </c>
      <c r="C305" s="46">
        <v>-14.7</v>
      </c>
      <c r="D305" s="46">
        <v>73.9</v>
      </c>
      <c r="E305" s="46">
        <v>1.3608209E7</v>
      </c>
      <c r="F305" s="46">
        <v>77.4</v>
      </c>
      <c r="G305" s="46">
        <v>6746384.4</v>
      </c>
    </row>
    <row r="306" ht="15.75" customHeight="1">
      <c r="A306" s="10">
        <v>44136.0</v>
      </c>
      <c r="B306" s="46">
        <v>53.8</v>
      </c>
      <c r="C306" s="46">
        <v>-13.9</v>
      </c>
      <c r="D306" s="46">
        <v>52.3</v>
      </c>
      <c r="E306" s="46">
        <v>1.3743661E7</v>
      </c>
      <c r="F306" s="46">
        <v>56.1</v>
      </c>
      <c r="G306" s="46">
        <v>6845401.0</v>
      </c>
    </row>
    <row r="307" ht="15.75" customHeight="1">
      <c r="A307" s="10">
        <v>44166.0</v>
      </c>
      <c r="B307" s="46">
        <v>54.0</v>
      </c>
      <c r="C307" s="46">
        <v>-15.5</v>
      </c>
      <c r="D307" s="46">
        <v>32.8</v>
      </c>
      <c r="E307" s="46">
        <v>1.3833679E7</v>
      </c>
      <c r="F307" s="46">
        <v>39.0</v>
      </c>
      <c r="G307" s="46">
        <v>6974077.25</v>
      </c>
    </row>
    <row r="308" ht="15.75" customHeight="1">
      <c r="A308" s="10">
        <v>44197.0</v>
      </c>
      <c r="B308" s="46">
        <v>55.5</v>
      </c>
      <c r="C308" s="46">
        <v>-17.6</v>
      </c>
      <c r="D308" s="46">
        <v>54.4</v>
      </c>
      <c r="E308" s="46">
        <v>1.3914867E7</v>
      </c>
      <c r="F308" s="46">
        <v>55.0</v>
      </c>
      <c r="G308" s="46">
        <v>7007435.6</v>
      </c>
    </row>
    <row r="309" ht="15.75" customHeight="1">
      <c r="A309" s="10">
        <v>44228.0</v>
      </c>
      <c r="B309" s="46">
        <v>54.8</v>
      </c>
      <c r="C309" s="46">
        <v>-13.6</v>
      </c>
      <c r="D309" s="46">
        <v>58.3</v>
      </c>
      <c r="E309" s="46">
        <v>1.400795E7</v>
      </c>
      <c r="F309" s="46">
        <v>61.8</v>
      </c>
      <c r="G309" s="46">
        <v>7086313.25</v>
      </c>
    </row>
    <row r="310" ht="15.75" customHeight="1">
      <c r="A310" s="10">
        <v>44256.0</v>
      </c>
      <c r="B310" s="46">
        <v>57.9</v>
      </c>
      <c r="C310" s="46">
        <v>-15.5</v>
      </c>
      <c r="D310" s="46">
        <v>69.6</v>
      </c>
      <c r="E310" s="46">
        <v>1.4033687E7</v>
      </c>
      <c r="F310" s="46">
        <v>71.2</v>
      </c>
      <c r="G310" s="46">
        <v>7231267.25</v>
      </c>
    </row>
    <row r="311" ht="15.75" customHeight="1">
      <c r="A311" s="10">
        <v>44287.0</v>
      </c>
      <c r="B311" s="46">
        <v>62.5</v>
      </c>
      <c r="C311" s="46">
        <v>-14.8</v>
      </c>
      <c r="D311" s="46">
        <v>74.0</v>
      </c>
      <c r="E311" s="46">
        <v>1.4099035E7</v>
      </c>
      <c r="F311" s="46">
        <v>76.6</v>
      </c>
      <c r="G311" s="46">
        <v>7531360.4</v>
      </c>
    </row>
    <row r="312" ht="15.75" customHeight="1">
      <c r="A312" s="10">
        <v>44317.0</v>
      </c>
      <c r="B312" s="46">
        <v>62.9</v>
      </c>
      <c r="C312" s="46">
        <v>-10.8</v>
      </c>
      <c r="D312" s="46">
        <v>66.3</v>
      </c>
      <c r="E312" s="46">
        <v>1.4202464E7</v>
      </c>
      <c r="F312" s="46">
        <v>70.7</v>
      </c>
      <c r="G312" s="46">
        <v>7626315.25</v>
      </c>
    </row>
    <row r="313" ht="15.75" customHeight="1">
      <c r="A313" s="10">
        <v>44348.0</v>
      </c>
      <c r="B313" s="46">
        <v>63.1</v>
      </c>
      <c r="C313" s="46">
        <v>-8.1</v>
      </c>
      <c r="D313" s="46">
        <v>84.5</v>
      </c>
      <c r="E313" s="46">
        <v>1.4265406E7</v>
      </c>
      <c r="F313" s="46">
        <v>84.4</v>
      </c>
      <c r="G313" s="46">
        <v>7748684.25</v>
      </c>
    </row>
    <row r="314" ht="15.75" customHeight="1">
      <c r="A314" s="10">
        <v>44378.0</v>
      </c>
      <c r="B314" s="46">
        <v>63.4</v>
      </c>
      <c r="C314" s="46">
        <v>-5.1</v>
      </c>
      <c r="D314" s="46">
        <v>81.3</v>
      </c>
      <c r="E314" s="46">
        <v>1.436E7</v>
      </c>
      <c r="F314" s="46">
        <v>79.8</v>
      </c>
      <c r="G314" s="46">
        <v>7952084.6</v>
      </c>
    </row>
    <row r="315" ht="15.75" customHeight="1">
      <c r="A315" s="10">
        <v>44409.0</v>
      </c>
      <c r="B315" s="46">
        <v>62.8</v>
      </c>
      <c r="C315" s="46">
        <v>-3.3</v>
      </c>
      <c r="D315" s="46">
        <v>61.2</v>
      </c>
      <c r="E315" s="46">
        <v>1.4458721E7</v>
      </c>
      <c r="F315" s="46">
        <v>63.3</v>
      </c>
      <c r="G315" s="46">
        <v>8072444.38475</v>
      </c>
    </row>
    <row r="316" ht="15.75" customHeight="1">
      <c r="A316" s="10">
        <v>44440.0</v>
      </c>
      <c r="B316" s="46">
        <v>61.4</v>
      </c>
      <c r="C316" s="46">
        <v>-4.4</v>
      </c>
      <c r="D316" s="46">
        <v>42.7</v>
      </c>
      <c r="E316" s="46">
        <v>1.4538467E7</v>
      </c>
      <c r="F316" s="46">
        <v>40.4</v>
      </c>
      <c r="G316" s="46">
        <v>8237011.5</v>
      </c>
    </row>
    <row r="317" ht="15.75" customHeight="1">
      <c r="A317" s="10">
        <v>44470.0</v>
      </c>
      <c r="B317" s="46">
        <v>58.6</v>
      </c>
      <c r="C317" s="46">
        <v>-5.3</v>
      </c>
      <c r="D317" s="46">
        <v>31.1</v>
      </c>
      <c r="E317" s="46">
        <v>1.4584944E7</v>
      </c>
      <c r="F317" s="46">
        <v>26.5</v>
      </c>
      <c r="G317" s="46">
        <v>8334899.0</v>
      </c>
    </row>
    <row r="318" ht="15.75" customHeight="1">
      <c r="A318" s="10">
        <v>44501.0</v>
      </c>
      <c r="B318" s="46">
        <v>58.3</v>
      </c>
      <c r="C318" s="46">
        <v>-4.0</v>
      </c>
      <c r="D318" s="46">
        <v>21.0</v>
      </c>
      <c r="E318" s="46">
        <v>1.4692632E7</v>
      </c>
      <c r="F318" s="46">
        <v>22.3</v>
      </c>
      <c r="G318" s="46">
        <v>8424091.75</v>
      </c>
    </row>
    <row r="319" ht="15.75" customHeight="1">
      <c r="A319" s="10">
        <v>44531.0</v>
      </c>
      <c r="B319" s="46">
        <v>58.4</v>
      </c>
      <c r="C319" s="46">
        <v>-5.4</v>
      </c>
      <c r="D319" s="46">
        <v>25.9</v>
      </c>
      <c r="E319" s="46">
        <v>1.4764887E7</v>
      </c>
      <c r="F319" s="46">
        <v>31.7</v>
      </c>
      <c r="G319" s="46">
        <v>8511336.4</v>
      </c>
    </row>
    <row r="320" ht="15.75" customHeight="1">
      <c r="A320" s="16">
        <v>44562.0</v>
      </c>
      <c r="B320" s="46">
        <v>58.0</v>
      </c>
      <c r="C320" s="46">
        <v>-8.2</v>
      </c>
      <c r="D320" s="46">
        <v>26.8</v>
      </c>
      <c r="E320" s="46">
        <v>1.485105E7</v>
      </c>
      <c r="F320" s="46">
        <v>29.9</v>
      </c>
      <c r="G320" s="46">
        <v>8597548.25</v>
      </c>
    </row>
    <row r="321" ht="15.75" customHeight="1">
      <c r="A321" s="10">
        <v>44593.0</v>
      </c>
      <c r="B321" s="46">
        <v>58.7</v>
      </c>
      <c r="C321" s="46">
        <v>-9.3</v>
      </c>
      <c r="D321" s="46">
        <v>49.4</v>
      </c>
      <c r="E321" s="46">
        <v>1.4918652E7</v>
      </c>
      <c r="F321" s="46">
        <v>51.7</v>
      </c>
      <c r="G321" s="46">
        <v>8655276.5</v>
      </c>
    </row>
    <row r="322" ht="15.75" customHeight="1">
      <c r="A322" s="16">
        <v>44621.0</v>
      </c>
      <c r="B322" s="46">
        <v>58.2</v>
      </c>
      <c r="C322" s="46">
        <v>-9.7</v>
      </c>
      <c r="D322" s="46">
        <v>48.6</v>
      </c>
      <c r="E322" s="46">
        <v>1.4962268E7</v>
      </c>
      <c r="F322" s="46">
        <v>54.3</v>
      </c>
      <c r="G322" s="46">
        <v>8692654.5</v>
      </c>
    </row>
    <row r="323" ht="15.75" customHeight="1">
      <c r="A323" s="10">
        <v>44652.0</v>
      </c>
      <c r="B323" s="46">
        <v>56.2</v>
      </c>
      <c r="C323" s="46">
        <v>-9.5</v>
      </c>
      <c r="D323" s="46">
        <v>-38.7</v>
      </c>
      <c r="E323" s="46">
        <v>1.498646E7</v>
      </c>
      <c r="F323" s="46">
        <v>-39.3</v>
      </c>
      <c r="G323" s="46">
        <v>8776024.8</v>
      </c>
    </row>
    <row r="324" ht="15.75" customHeight="1">
      <c r="A324" s="16">
        <v>44682.0</v>
      </c>
      <c r="B324" s="46">
        <v>55.5</v>
      </c>
      <c r="C324" s="46">
        <v>-21.6</v>
      </c>
      <c r="D324" s="46">
        <v>-43.0</v>
      </c>
      <c r="E324" s="46">
        <v>1.5068115E7</v>
      </c>
      <c r="F324" s="46">
        <v>-41.0</v>
      </c>
      <c r="G324" s="46">
        <v>8808570.0</v>
      </c>
    </row>
    <row r="325" ht="15.75" customHeight="1">
      <c r="A325" s="10">
        <v>44713.0</v>
      </c>
      <c r="B325" s="46">
        <v>54.6</v>
      </c>
      <c r="C325" s="46">
        <v>-22.0</v>
      </c>
      <c r="D325" s="46">
        <v>-29.5</v>
      </c>
      <c r="E325" s="46">
        <v>1.5169334E7</v>
      </c>
      <c r="F325" s="46">
        <v>-34.3</v>
      </c>
      <c r="G325" s="46">
        <v>8825698.25</v>
      </c>
    </row>
    <row r="326" ht="15.75" customHeight="1">
      <c r="A326" s="16">
        <v>44743.0</v>
      </c>
      <c r="B326" s="46">
        <v>52.1</v>
      </c>
      <c r="C326" s="46">
        <v>-21.1</v>
      </c>
      <c r="D326" s="46">
        <v>-28.0</v>
      </c>
      <c r="E326" s="46">
        <v>1.530967E7</v>
      </c>
      <c r="F326" s="46">
        <v>-28.0</v>
      </c>
      <c r="G326" s="46">
        <v>8772325.4</v>
      </c>
    </row>
    <row r="327" ht="15.75" customHeight="1">
      <c r="A327" s="10">
        <v>44774.0</v>
      </c>
      <c r="B327" s="46">
        <v>49.8</v>
      </c>
      <c r="C327" s="46">
        <v>-23.8</v>
      </c>
      <c r="D327" s="46">
        <v>-51.1</v>
      </c>
      <c r="E327" s="46">
        <v>1.5448158E7</v>
      </c>
      <c r="F327" s="46">
        <v>-53.8</v>
      </c>
      <c r="G327" s="46">
        <v>8748623.5</v>
      </c>
    </row>
    <row r="328" ht="15.75" customHeight="1">
      <c r="A328" s="16">
        <v>44805.0</v>
      </c>
      <c r="B328" s="46">
        <v>49.6</v>
      </c>
      <c r="C328" s="46">
        <v>-27.0</v>
      </c>
      <c r="D328" s="46">
        <v>-54.9</v>
      </c>
      <c r="E328" s="46">
        <v>1.5376923E7</v>
      </c>
      <c r="F328" s="46">
        <v>-55.3</v>
      </c>
      <c r="G328" s="46">
        <v>8772061.2</v>
      </c>
    </row>
    <row r="329" ht="15.75" customHeight="1">
      <c r="A329" s="10">
        <v>44835.0</v>
      </c>
      <c r="B329" s="46">
        <v>48.4</v>
      </c>
      <c r="C329" s="46">
        <v>-25.0</v>
      </c>
      <c r="D329" s="46">
        <v>-60.7</v>
      </c>
      <c r="E329" s="46">
        <v>1.5331588E7</v>
      </c>
      <c r="F329" s="46">
        <v>-61.9</v>
      </c>
      <c r="G329" s="46">
        <v>8773869.25</v>
      </c>
    </row>
    <row r="330" ht="15.75" customHeight="1">
      <c r="A330" s="16">
        <v>44866.0</v>
      </c>
      <c r="B330" s="46">
        <v>46.4</v>
      </c>
      <c r="C330" s="46">
        <v>-28.8</v>
      </c>
      <c r="D330" s="46">
        <v>-59.7</v>
      </c>
      <c r="E330" s="46">
        <v>1.5271464E7</v>
      </c>
      <c r="F330" s="46">
        <v>-59.2</v>
      </c>
      <c r="G330" s="46">
        <v>8691705.25</v>
      </c>
    </row>
    <row r="331" ht="15.75" customHeight="1">
      <c r="A331" s="10">
        <v>44896.0</v>
      </c>
      <c r="B331" s="46">
        <v>47.1</v>
      </c>
      <c r="C331" s="46">
        <v>-27.6</v>
      </c>
      <c r="D331" s="46">
        <v>-38.7</v>
      </c>
      <c r="E331" s="46">
        <v>1.52999E7</v>
      </c>
      <c r="F331" s="46">
        <v>-36.7</v>
      </c>
      <c r="G331" s="46">
        <v>8273933.8</v>
      </c>
    </row>
    <row r="332" ht="15.75" customHeight="1">
      <c r="A332" s="16">
        <v>44927.0</v>
      </c>
      <c r="B332" s="46">
        <v>47.8</v>
      </c>
      <c r="C332" s="46">
        <v>-23.9</v>
      </c>
      <c r="D332" s="46">
        <v>-23.6</v>
      </c>
      <c r="E332" s="46">
        <v>1.5297538E7</v>
      </c>
      <c r="F332" s="46">
        <v>-23.3</v>
      </c>
      <c r="G332" s="46">
        <v>7948314.5</v>
      </c>
    </row>
    <row r="333" ht="15.75" customHeight="1">
      <c r="A333" s="10">
        <v>44958.0</v>
      </c>
      <c r="B333" s="46">
        <v>48.8</v>
      </c>
      <c r="C333" s="46">
        <v>-22.2</v>
      </c>
      <c r="D333" s="46">
        <v>16.7</v>
      </c>
      <c r="E333" s="46">
        <v>1.5242704E7</v>
      </c>
      <c r="F333" s="46">
        <v>16.9</v>
      </c>
      <c r="G333" s="46">
        <v>7865135.0</v>
      </c>
    </row>
    <row r="334" ht="15.75" customHeight="1">
      <c r="A334" s="16">
        <v>44986.0</v>
      </c>
      <c r="B334" s="46">
        <v>48.5</v>
      </c>
      <c r="C334" s="46">
        <v>-20.7</v>
      </c>
      <c r="D334" s="46">
        <v>29.7</v>
      </c>
      <c r="E334" s="46">
        <v>1.5149809E7</v>
      </c>
      <c r="F334" s="46">
        <v>28.1</v>
      </c>
      <c r="G334" s="46">
        <v>7811511.2</v>
      </c>
    </row>
    <row r="335" ht="15.75" customHeight="1">
      <c r="A335" s="10">
        <v>45017.0</v>
      </c>
      <c r="B335" s="46">
        <v>47.3</v>
      </c>
      <c r="C335" s="46">
        <v>-19.1</v>
      </c>
      <c r="D335" s="46">
        <v>10.0</v>
      </c>
      <c r="E335" s="46">
        <v>1.5116798E7</v>
      </c>
      <c r="F335" s="46">
        <v>13.0</v>
      </c>
      <c r="G335" s="46">
        <v>7723553.25</v>
      </c>
    </row>
    <row r="336" ht="15.75" customHeight="1">
      <c r="A336" s="16">
        <v>45047.0</v>
      </c>
      <c r="B336" s="46">
        <v>45.8</v>
      </c>
      <c r="C336" s="46">
        <v>-19.2</v>
      </c>
      <c r="D336" s="46">
        <v>6.4</v>
      </c>
      <c r="E336" s="46">
        <v>1.5116867E7</v>
      </c>
      <c r="F336" s="46">
        <v>4.1</v>
      </c>
      <c r="G336" s="46">
        <v>7722299.75</v>
      </c>
    </row>
    <row r="337" ht="15.75" customHeight="1">
      <c r="A337" s="10">
        <v>45078.0</v>
      </c>
      <c r="B337" s="46">
        <v>44.8</v>
      </c>
      <c r="C337" s="46">
        <v>-17.5</v>
      </c>
      <c r="D337" s="46">
        <v>-9.4</v>
      </c>
      <c r="E337" s="46">
        <v>1.5119923E7</v>
      </c>
      <c r="F337" s="46">
        <v>-10.7</v>
      </c>
      <c r="G337" s="46">
        <v>7613429.4</v>
      </c>
    </row>
    <row r="338" ht="15.75" customHeight="1">
      <c r="A338" s="16">
        <v>45108.0</v>
      </c>
      <c r="B338" s="46">
        <v>43.4</v>
      </c>
      <c r="C338" s="46">
        <v>-17.4</v>
      </c>
      <c r="D338" s="46">
        <v>-10.0</v>
      </c>
      <c r="E338" s="46">
        <v>1.5063163E7</v>
      </c>
      <c r="F338" s="46">
        <v>-8.5</v>
      </c>
      <c r="G338" s="46">
        <v>7197145.0</v>
      </c>
    </row>
    <row r="339" ht="15.75" customHeight="1">
      <c r="A339" s="10">
        <v>45139.0</v>
      </c>
      <c r="B339" s="46">
        <v>42.7</v>
      </c>
      <c r="C339" s="46">
        <v>-16.1</v>
      </c>
      <c r="D339" s="46">
        <v>-12.2</v>
      </c>
      <c r="E339" s="46">
        <v>1.50674E7</v>
      </c>
      <c r="F339" s="46">
        <v>-14.7</v>
      </c>
      <c r="G339" s="46">
        <v>7159750.0</v>
      </c>
    </row>
    <row r="340" ht="15.75" customHeight="1">
      <c r="A340" s="17">
        <v>45170.0</v>
      </c>
      <c r="B340" s="46">
        <v>43.5</v>
      </c>
      <c r="C340" s="46">
        <v>-15.1</v>
      </c>
      <c r="D340" s="46">
        <v>-5.5</v>
      </c>
      <c r="E340" s="46">
        <v>1.50335E7</v>
      </c>
      <c r="F340" s="46">
        <v>-12.3</v>
      </c>
      <c r="G340" s="46">
        <v>7133099.2</v>
      </c>
    </row>
    <row r="341" ht="15.75" customHeight="1">
      <c r="A341" s="16">
        <v>45200.0</v>
      </c>
      <c r="B341" s="46">
        <v>43.4</v>
      </c>
      <c r="C341" s="46">
        <v>-16.0</v>
      </c>
      <c r="D341" s="46">
        <v>-8.9</v>
      </c>
      <c r="E341" s="46">
        <v>1.5108566E7</v>
      </c>
      <c r="F341" s="46">
        <v>-11.4</v>
      </c>
      <c r="G341" s="46">
        <v>7042856.25</v>
      </c>
    </row>
    <row r="342" ht="15.75" customHeight="1">
      <c r="A342" s="10">
        <v>45231.0</v>
      </c>
      <c r="B342" s="46">
        <v>43.1</v>
      </c>
      <c r="C342" s="46">
        <v>-17.7</v>
      </c>
      <c r="D342" s="46">
        <v>2.3</v>
      </c>
      <c r="E342" s="46">
        <v>1.5026027E7</v>
      </c>
      <c r="F342" s="46">
        <v>-1.1</v>
      </c>
      <c r="G342" s="46">
        <v>6999339.0</v>
      </c>
    </row>
    <row r="343" ht="15.75" customHeight="1">
      <c r="A343" s="16">
        <v>45261.0</v>
      </c>
      <c r="B343" s="46">
        <v>44.2</v>
      </c>
      <c r="C343" s="46">
        <v>-17.8</v>
      </c>
      <c r="D343" s="46">
        <v>13.8</v>
      </c>
      <c r="E343" s="46">
        <v>1.5052496E7</v>
      </c>
      <c r="F343" s="46">
        <v>9.8</v>
      </c>
      <c r="G343" s="46">
        <v>6963515.8</v>
      </c>
    </row>
    <row r="344" ht="15.75" customHeight="1">
      <c r="A344" s="10">
        <v>45292.0</v>
      </c>
      <c r="B344" s="46">
        <v>44.4</v>
      </c>
      <c r="C344" s="46">
        <v>-16.9</v>
      </c>
      <c r="D344" s="46">
        <v>23.0</v>
      </c>
      <c r="E344" s="46">
        <v>1.5134823E7</v>
      </c>
      <c r="F344" s="46">
        <v>12.8</v>
      </c>
      <c r="G344" s="46">
        <v>6905088.5</v>
      </c>
    </row>
    <row r="345" ht="15.75" customHeight="1">
      <c r="A345" s="16">
        <v>45323.0</v>
      </c>
      <c r="B345" s="46">
        <v>46.6</v>
      </c>
      <c r="C345" s="46">
        <v>-15.1</v>
      </c>
      <c r="D345" s="46">
        <v>22.7</v>
      </c>
      <c r="E345" s="46">
        <v>1.5073281E7</v>
      </c>
      <c r="F345" s="46">
        <v>15.2</v>
      </c>
      <c r="G345" s="46">
        <v>6850110.75</v>
      </c>
    </row>
    <row r="346" ht="15.75" customHeight="1">
      <c r="A346" s="10">
        <v>45352.0</v>
      </c>
      <c r="B346" s="46">
        <v>46.5</v>
      </c>
      <c r="C346" s="46">
        <v>-16.1</v>
      </c>
      <c r="D346" s="46">
        <v>25.0</v>
      </c>
      <c r="E346" s="46">
        <v>1.5102661E7</v>
      </c>
      <c r="F346" s="46">
        <v>19.9</v>
      </c>
      <c r="G346" s="46">
        <v>6775680.2</v>
      </c>
    </row>
    <row r="347" ht="15.75" customHeight="1">
      <c r="A347" s="19">
        <v>45383.0</v>
      </c>
      <c r="B347" s="46">
        <v>46.1</v>
      </c>
      <c r="C347" s="46">
        <v>-15.5</v>
      </c>
      <c r="D347" s="46">
        <v>33.5</v>
      </c>
      <c r="E347" s="46">
        <v>1.5144918E7</v>
      </c>
      <c r="F347" s="46">
        <v>31.7</v>
      </c>
      <c r="G347" s="46">
        <v>6593509.75</v>
      </c>
    </row>
    <row r="348" ht="15.75" customHeight="1">
      <c r="A348" s="10">
        <v>45413.0</v>
      </c>
      <c r="B348" s="46">
        <v>45.7</v>
      </c>
      <c r="C348" s="46">
        <v>-14.9</v>
      </c>
      <c r="D348" s="46">
        <v>43.9</v>
      </c>
      <c r="E348" s="46">
        <v>1.5204934E7</v>
      </c>
      <c r="F348" s="46">
        <v>42.9</v>
      </c>
      <c r="G348" s="46">
        <v>6572763.0</v>
      </c>
    </row>
    <row r="349" ht="15.75" customHeight="1">
      <c r="A349" s="16">
        <v>45444.0</v>
      </c>
      <c r="B349" s="46">
        <v>47.3</v>
      </c>
      <c r="C349" s="46">
        <v>-14.3</v>
      </c>
      <c r="D349" s="46">
        <v>47.0</v>
      </c>
      <c r="E349" s="46">
        <v>1.5298209E7</v>
      </c>
      <c r="F349" s="46">
        <v>47.1</v>
      </c>
      <c r="G349" s="46">
        <v>6533743.5</v>
      </c>
    </row>
    <row r="350" ht="15.75" customHeight="1">
      <c r="A350" s="10">
        <v>45474.0</v>
      </c>
      <c r="B350" s="46">
        <v>45.8</v>
      </c>
      <c r="C350" s="46">
        <v>-14.0</v>
      </c>
      <c r="D350" s="46">
        <v>51.3</v>
      </c>
      <c r="E350" s="46">
        <v>1.52E7</v>
      </c>
      <c r="F350" s="46">
        <v>47.5</v>
      </c>
      <c r="G350" s="46">
        <v>6486495.5</v>
      </c>
    </row>
    <row r="351" ht="15.75" customHeight="1">
      <c r="A351" s="16">
        <v>45505.0</v>
      </c>
      <c r="B351" s="46">
        <v>45.8</v>
      </c>
      <c r="C351" s="46">
        <v>-13.0</v>
      </c>
      <c r="D351" s="46">
        <v>43.7</v>
      </c>
      <c r="E351" s="46">
        <v>1.5310942E7</v>
      </c>
      <c r="F351" s="46">
        <v>41.8</v>
      </c>
      <c r="G351" s="46">
        <v>6462473.0</v>
      </c>
    </row>
    <row r="352" ht="15.75" customHeight="1">
      <c r="A352" s="17">
        <v>45536.0</v>
      </c>
      <c r="B352" s="46">
        <v>45.8</v>
      </c>
      <c r="C352" s="46">
        <v>-13.4</v>
      </c>
      <c r="D352" s="46">
        <v>17.9</v>
      </c>
      <c r="E352" s="46">
        <v>1.5405036E7</v>
      </c>
      <c r="F352" s="46">
        <v>19.2</v>
      </c>
      <c r="G352" s="46">
        <v>6431501.5</v>
      </c>
    </row>
    <row r="353" ht="15.75" customHeight="1">
      <c r="A353" s="16">
        <v>45566.0</v>
      </c>
      <c r="B353" s="46">
        <v>44.8</v>
      </c>
      <c r="C353" s="46">
        <v>-12.9</v>
      </c>
      <c r="D353" s="46">
        <v>9.3</v>
      </c>
      <c r="E353" s="46">
        <v>1.5540007E7</v>
      </c>
      <c r="F353" s="46">
        <v>3.6</v>
      </c>
      <c r="G353" s="46">
        <v>6430982.5</v>
      </c>
    </row>
    <row r="354" ht="15.75" customHeight="1">
      <c r="A354" s="17">
        <v>45597.0</v>
      </c>
      <c r="B354" s="46">
        <v>45.9</v>
      </c>
      <c r="C354" s="46">
        <v>-12.5</v>
      </c>
      <c r="D354" s="46">
        <v>20.1</v>
      </c>
      <c r="E354" s="46">
        <v>1.5540367E7</v>
      </c>
      <c r="F354" s="46">
        <v>13.1</v>
      </c>
      <c r="G354" s="46">
        <v>6387611.4</v>
      </c>
    </row>
    <row r="355" ht="15.75" customHeight="1">
      <c r="A355" s="16">
        <v>45627.0</v>
      </c>
      <c r="B355" s="46">
        <v>45.2</v>
      </c>
      <c r="C355" s="46">
        <v>-13.7</v>
      </c>
      <c r="D355" s="46">
        <v>12.5</v>
      </c>
      <c r="E355" s="46">
        <v>1.5571984E7</v>
      </c>
      <c r="F355" s="46">
        <v>7.4</v>
      </c>
      <c r="G355" s="46">
        <v>6351809.25</v>
      </c>
    </row>
    <row r="356" ht="15.75" customHeight="1">
      <c r="A356" s="17">
        <v>45658.0</v>
      </c>
      <c r="B356" s="46">
        <v>45.1</v>
      </c>
      <c r="C356" s="46">
        <v>-14.5</v>
      </c>
      <c r="D356" s="46">
        <v>17.0</v>
      </c>
      <c r="E356" s="46">
        <v>1.5582889E7</v>
      </c>
      <c r="F356" s="46">
        <v>15.7</v>
      </c>
      <c r="G356" s="46">
        <v>6404988.8</v>
      </c>
    </row>
    <row r="357" ht="15.75" customHeight="1">
      <c r="A357" s="16">
        <v>45689.0</v>
      </c>
      <c r="B357" s="46">
        <v>46.6</v>
      </c>
      <c r="C357" s="46">
        <v>-14.2</v>
      </c>
      <c r="D357" s="46">
        <v>18.0</v>
      </c>
      <c r="E357" s="46">
        <v>1.5627299E7</v>
      </c>
      <c r="F357" s="46">
        <v>10.3</v>
      </c>
      <c r="G357" s="46">
        <v>6352248.5</v>
      </c>
    </row>
    <row r="358" ht="15.75" customHeight="1">
      <c r="A358" s="17">
        <v>45717.0</v>
      </c>
      <c r="B358" s="46">
        <v>47.6</v>
      </c>
      <c r="C358" s="46">
        <v>-13.6</v>
      </c>
      <c r="D358" s="46">
        <v>22.4</v>
      </c>
      <c r="E358" s="46">
        <v>1.5658327E7</v>
      </c>
      <c r="F358" s="46">
        <v>26.0</v>
      </c>
      <c r="G358" s="46">
        <v>6270885.25</v>
      </c>
    </row>
    <row r="359" ht="15.75" customHeight="1">
      <c r="A359" s="16">
        <v>45748.0</v>
      </c>
      <c r="B359" s="46">
        <v>48.6</v>
      </c>
      <c r="C359" s="46">
        <v>-14.5</v>
      </c>
      <c r="D359" s="46">
        <v>39.8</v>
      </c>
      <c r="E359" s="46">
        <v>1.5696916E7</v>
      </c>
      <c r="F359" s="46">
        <v>51.6</v>
      </c>
      <c r="G359" s="46">
        <v>6331820.25</v>
      </c>
    </row>
    <row r="360" ht="15.75" customHeight="1">
      <c r="A360" s="17">
        <v>45778.0</v>
      </c>
      <c r="B360" s="46">
        <v>49.0</v>
      </c>
      <c r="C360" s="46">
        <v>-16.7</v>
      </c>
      <c r="D360" s="46">
        <v>-18.5</v>
      </c>
      <c r="E360" s="46">
        <v>1.5736686E7</v>
      </c>
      <c r="F360" s="46">
        <v>-14.0</v>
      </c>
      <c r="G360" s="46">
        <v>6295010.8</v>
      </c>
    </row>
    <row r="361" ht="15.75" customHeight="1">
      <c r="A361" s="16">
        <v>45809.0</v>
      </c>
      <c r="B361" s="46">
        <v>49.4</v>
      </c>
      <c r="C361" s="46">
        <v>-15.1</v>
      </c>
      <c r="D361" s="46">
        <v>11.6</v>
      </c>
      <c r="E361" s="46">
        <v>1.571029E7</v>
      </c>
      <c r="F361" s="46">
        <v>25.2</v>
      </c>
      <c r="G361" s="46">
        <v>6238526.0</v>
      </c>
    </row>
    <row r="362" ht="15.75" customHeight="1">
      <c r="A362" s="17">
        <v>45839.0</v>
      </c>
      <c r="B362" s="46">
        <v>49.5</v>
      </c>
      <c r="C362" s="46">
        <v>-15.3</v>
      </c>
      <c r="D362" s="46">
        <v>35.3</v>
      </c>
      <c r="E362" s="46">
        <v>1.5717906E7</v>
      </c>
      <c r="F362" s="46">
        <v>47.5</v>
      </c>
      <c r="G362" s="46">
        <v>6129768.5</v>
      </c>
    </row>
    <row r="363" ht="15.75" customHeight="1">
      <c r="A363" s="16">
        <v>45870.0</v>
      </c>
      <c r="B363" s="46">
        <v>49.8</v>
      </c>
      <c r="C363" s="46">
        <v>-14.7</v>
      </c>
      <c r="D363" s="46">
        <v>36.1</v>
      </c>
      <c r="E363" s="46">
        <v>1.5734141E7</v>
      </c>
      <c r="F363" s="46">
        <v>52.7</v>
      </c>
      <c r="G363" s="46">
        <v>6092370.4</v>
      </c>
    </row>
    <row r="364" ht="15.75" customHeight="1">
      <c r="A364" s="17">
        <v>45901.0</v>
      </c>
      <c r="B364" s="46">
        <v>50.7</v>
      </c>
      <c r="C364" s="46">
        <v>-15.5</v>
      </c>
      <c r="D364" s="46">
        <v>25.1</v>
      </c>
      <c r="E364" s="46">
        <v>1.5742835E7</v>
      </c>
      <c r="F364" s="46">
        <v>34.7</v>
      </c>
      <c r="G364" s="46">
        <v>6076719.75</v>
      </c>
    </row>
    <row r="365" ht="15.75" customHeight="1">
      <c r="A365" s="65">
        <v>45931.0</v>
      </c>
      <c r="B365" s="46">
        <v>49.8</v>
      </c>
      <c r="C365" s="46">
        <v>-14.3</v>
      </c>
      <c r="D365" s="46">
        <v>26.1</v>
      </c>
      <c r="E365" s="46">
        <v>1.5794311E7</v>
      </c>
      <c r="F365" s="46">
        <v>37.3</v>
      </c>
      <c r="G365" s="46">
        <v>6123544.0</v>
      </c>
    </row>
    <row r="366" ht="15.75" customHeight="1">
      <c r="A366" s="17">
        <v>45962.0</v>
      </c>
      <c r="B366" s="46">
        <v>50.0</v>
      </c>
      <c r="C366" s="46">
        <v>-13.5</v>
      </c>
      <c r="D366" s="46">
        <v>22.7</v>
      </c>
      <c r="E366" s="47">
        <v>1.5901675E7</v>
      </c>
      <c r="F366" s="46">
        <v>39.3</v>
      </c>
      <c r="G366" s="46">
        <v>6195379.0</v>
      </c>
    </row>
    <row r="367" ht="15.75" customHeight="1">
      <c r="A367" s="30">
        <v>45992.0</v>
      </c>
      <c r="B367" s="48">
        <v>49.6</v>
      </c>
      <c r="C367" s="48">
        <v>-12.8</v>
      </c>
      <c r="D367" s="48">
        <v>25.0</v>
      </c>
      <c r="E367" s="48">
        <v>1.6073522E7</v>
      </c>
      <c r="F367" s="48">
        <v>38.5</v>
      </c>
    </row>
    <row r="368" ht="15.75" customHeight="1">
      <c r="A368" s="49">
        <v>46023.0</v>
      </c>
      <c r="B368" s="48">
        <v>48.8</v>
      </c>
      <c r="C368" s="48">
        <v>-13.2</v>
      </c>
      <c r="D368" s="48">
        <v>33.7</v>
      </c>
      <c r="E368" s="48">
        <v>1.620471E7</v>
      </c>
      <c r="F368" s="48">
        <v>45.8</v>
      </c>
    </row>
    <row r="369" ht="15.75" customHeight="1">
      <c r="A369" s="30">
        <v>46054.0</v>
      </c>
      <c r="B369" s="48">
        <v>49.5</v>
      </c>
      <c r="C369" s="48">
        <v>-12.4</v>
      </c>
      <c r="D369" s="48">
        <v>40.6</v>
      </c>
      <c r="E369" s="48">
        <v>1.6245831E7</v>
      </c>
      <c r="F369" s="48">
        <v>59.6</v>
      </c>
    </row>
    <row r="370" ht="15.75" customHeight="1">
      <c r="A370" s="30">
        <v>46082.0</v>
      </c>
      <c r="B370" s="48">
        <v>50.8</v>
      </c>
      <c r="C370" s="48">
        <v>-12.2</v>
      </c>
      <c r="D370" s="48">
        <v>39.4</v>
      </c>
      <c r="E370" s="48">
        <v>1.6277495E7</v>
      </c>
      <c r="F370" s="48">
        <v>58.3</v>
      </c>
    </row>
    <row r="371" ht="15.75" customHeight="1">
      <c r="A371" s="30">
        <v>46113.0</v>
      </c>
      <c r="B371" s="48">
        <v>51.6</v>
      </c>
      <c r="C371" s="48">
        <v>-16.3</v>
      </c>
      <c r="D371" s="48">
        <v>-8.5</v>
      </c>
      <c r="E371" s="66">
        <v>1.6288727E7</v>
      </c>
      <c r="F371" s="48">
        <v>-0.5</v>
      </c>
    </row>
    <row r="372" ht="15.75" customHeight="1">
      <c r="A372" s="67">
        <v>46143.0</v>
      </c>
      <c r="B372" s="48">
        <v>52.2</v>
      </c>
      <c r="C372" s="48">
        <v>-20.6</v>
      </c>
      <c r="D372" s="48">
        <v>-20.4</v>
      </c>
      <c r="E372" s="50">
        <v>1.6381796E7</v>
      </c>
      <c r="F372" s="48">
        <v>-17.2</v>
      </c>
    </row>
    <row r="373" ht="15.75" customHeight="1">
      <c r="A373" s="38">
        <v>46174.0</v>
      </c>
      <c r="B373" s="51">
        <v>51.6</v>
      </c>
      <c r="C373" s="51">
        <v>-19.0</v>
      </c>
      <c r="D373" s="51">
        <v>-9.1</v>
      </c>
      <c r="F373" s="51">
        <v>-10.2</v>
      </c>
    </row>
    <row r="374" ht="15.75" customHeight="1">
      <c r="A374" s="23">
        <v>46204.0</v>
      </c>
      <c r="B374" s="50">
        <v>51.4</v>
      </c>
      <c r="C374" s="50">
        <v>-17.0</v>
      </c>
      <c r="D374" s="50">
        <v>18.6</v>
      </c>
      <c r="F374" s="50">
        <v>10.5</v>
      </c>
    </row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42.44"/>
    <col customWidth="1" min="2" max="2" width="99.11"/>
    <col customWidth="1" min="3" max="6" width="11.22"/>
  </cols>
  <sheetData>
    <row r="1">
      <c r="B1" s="68" t="s">
        <v>121</v>
      </c>
    </row>
    <row r="2">
      <c r="A2" s="69" t="s">
        <v>122</v>
      </c>
      <c r="B2" s="70" t="s">
        <v>123</v>
      </c>
    </row>
    <row r="3">
      <c r="A3" s="69" t="s">
        <v>124</v>
      </c>
      <c r="B3" s="71" t="s">
        <v>125</v>
      </c>
    </row>
    <row r="4">
      <c r="A4" s="69" t="s">
        <v>126</v>
      </c>
      <c r="B4" s="71" t="s">
        <v>127</v>
      </c>
    </row>
    <row r="5">
      <c r="A5" s="69" t="s">
        <v>128</v>
      </c>
      <c r="B5" s="71" t="s">
        <v>129</v>
      </c>
    </row>
    <row r="6">
      <c r="A6" s="69" t="s">
        <v>130</v>
      </c>
      <c r="B6" s="71" t="s">
        <v>131</v>
      </c>
    </row>
    <row r="7">
      <c r="A7" s="69" t="s">
        <v>132</v>
      </c>
      <c r="B7" s="70" t="s">
        <v>133</v>
      </c>
    </row>
    <row r="8">
      <c r="A8" s="69" t="s">
        <v>1</v>
      </c>
      <c r="B8" s="71" t="s">
        <v>134</v>
      </c>
    </row>
    <row r="9">
      <c r="A9" s="69" t="s">
        <v>14</v>
      </c>
      <c r="B9" s="71" t="s">
        <v>135</v>
      </c>
    </row>
    <row r="10">
      <c r="A10" s="69" t="s">
        <v>136</v>
      </c>
      <c r="B10" s="71" t="s">
        <v>137</v>
      </c>
    </row>
    <row r="11">
      <c r="A11" s="69" t="s">
        <v>130</v>
      </c>
      <c r="B11" s="71" t="s">
        <v>138</v>
      </c>
    </row>
    <row r="12">
      <c r="A12" s="69" t="s">
        <v>139</v>
      </c>
      <c r="B12" s="71" t="s">
        <v>140</v>
      </c>
    </row>
    <row r="13">
      <c r="A13" s="69" t="s">
        <v>141</v>
      </c>
      <c r="B13" s="71" t="s">
        <v>142</v>
      </c>
    </row>
    <row r="14">
      <c r="A14" s="69" t="s">
        <v>143</v>
      </c>
      <c r="B14" s="69"/>
    </row>
    <row r="15">
      <c r="A15" s="69" t="s">
        <v>144</v>
      </c>
      <c r="B15" s="71" t="s">
        <v>145</v>
      </c>
    </row>
    <row r="16">
      <c r="A16" s="69" t="s">
        <v>132</v>
      </c>
      <c r="B16" s="71" t="s">
        <v>146</v>
      </c>
    </row>
    <row r="17">
      <c r="A17" s="48" t="s">
        <v>102</v>
      </c>
      <c r="B17" s="72" t="s">
        <v>147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5"/>
    <hyperlink r:id="rId15" ref="B16"/>
    <hyperlink r:id="rId16" ref="B17"/>
  </hyperlinks>
  <printOptions/>
  <pageMargins bottom="0.0" footer="0.0" header="0.0" left="0.0" right="0.0" top="0.0"/>
  <pageSetup orientation="landscape"/>
  <drawing r:id="rId17"/>
</worksheet>
</file>